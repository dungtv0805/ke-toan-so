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Đơn hàng" sheetId="1" r:id="rId5"/>
    <sheet state="visible" name="5.Thu tiền" sheetId="2" r:id="rId6"/>
    <sheet state="visible" name="6.Hóa đơn" sheetId="3" r:id="rId7"/>
    <sheet state="visible" name="7.Doanh thu" sheetId="4" r:id="rId8"/>
    <sheet state="visible" name="3.Khách hàng" sheetId="5" r:id="rId9"/>
    <sheet state="visible" name="2.Kế hoạch" sheetId="6" r:id="rId10"/>
    <sheet state="visible" name="1.Sản phẩm" sheetId="7" r:id="rId11"/>
    <sheet state="visible" name="Học viên" sheetId="8" r:id="rId12"/>
    <sheet state="visible" name="TT xuất HĐ" sheetId="9" r:id="rId13"/>
  </sheets>
  <definedNames>
    <definedName hidden="1" localSheetId="0" name="_xlnm._FilterDatabase">'4.Đơn hàng'!$B$3:$O$52</definedName>
    <definedName hidden="1" localSheetId="1" name="_xlnm._FilterDatabase">'5.Thu tiền'!$A$2:$K$80</definedName>
    <definedName hidden="1" localSheetId="2" name="_xlnm._FilterDatabase">'6.Hóa đơn'!$A$2:$J$58</definedName>
  </definedNames>
  <calcPr/>
</workbook>
</file>

<file path=xl/sharedStrings.xml><?xml version="1.0" encoding="utf-8"?>
<sst xmlns="http://schemas.openxmlformats.org/spreadsheetml/2006/main" count="802" uniqueCount="443">
  <si>
    <t>Số hoá đơn</t>
  </si>
  <si>
    <t>Mã đơn hàng</t>
  </si>
  <si>
    <t>Ngày</t>
  </si>
  <si>
    <t>Ngày tháng</t>
  </si>
  <si>
    <t>Mã khách hàng</t>
  </si>
  <si>
    <t>KHÁCH HÀNG</t>
  </si>
  <si>
    <t>Tên sản phẩm</t>
  </si>
  <si>
    <t>Đơn hàng</t>
  </si>
  <si>
    <t>Sản phẩm</t>
  </si>
  <si>
    <t>Doanh số</t>
  </si>
  <si>
    <t>Diễn giải</t>
  </si>
  <si>
    <t>Số hóa đơn</t>
  </si>
  <si>
    <t>Số tiền thu</t>
  </si>
  <si>
    <t>Doanh thu</t>
  </si>
  <si>
    <t>DOANH THU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</si>
  <si>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</si>
  <si>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</si>
  <si>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</si>
  <si>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</si>
  <si>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</si>
  <si>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</si>
  <si>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</si>
  <si>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</si>
  <si>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</si>
  <si>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</si>
  <si>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</si>
  <si>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</si>
  <si>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Khách hàng</t>
  </si>
  <si>
    <t>Thuế suất</t>
  </si>
  <si>
    <t>Tổng</t>
  </si>
  <si>
    <t>BÁN HÀNG</t>
  </si>
  <si>
    <t>THU TIỀN</t>
  </si>
  <si>
    <t>Thuế</t>
  </si>
  <si>
    <t>Đã xuất hóa đơn</t>
  </si>
  <si>
    <t>Chưa xuất hóa đơn</t>
  </si>
  <si>
    <t>Tiền hàng</t>
  </si>
  <si>
    <t>CHỨNG TỪ</t>
  </si>
  <si>
    <t>Ghi chú</t>
  </si>
  <si>
    <t>Tiền thuế</t>
  </si>
  <si>
    <t>Nội dung</t>
  </si>
  <si>
    <t>Ngày tạo đơn</t>
  </si>
  <si>
    <t>DH08</t>
  </si>
  <si>
    <t>Mã đơn</t>
  </si>
  <si>
    <t>Mã KH</t>
  </si>
  <si>
    <t>Giá niêm yết</t>
  </si>
  <si>
    <t>Chiết khấu</t>
  </si>
  <si>
    <t>Thành tiền</t>
  </si>
  <si>
    <t>Đã thu</t>
  </si>
  <si>
    <t>DH09</t>
  </si>
  <si>
    <t>DH01</t>
  </si>
  <si>
    <t>Còn phải thu</t>
  </si>
  <si>
    <t>Ghi nhận doanh thu</t>
  </si>
  <si>
    <t>DH10</t>
  </si>
  <si>
    <t>Chương trình đào taọ NLP Master</t>
  </si>
  <si>
    <t>DH02</t>
  </si>
  <si>
    <t>DH03</t>
  </si>
  <si>
    <t>Dịch vụ tư vấn quản lý doanh nghiệp</t>
  </si>
  <si>
    <t>DH04</t>
  </si>
  <si>
    <t>DH05</t>
  </si>
  <si>
    <t>Dịch vụ đào tạo kỹ năng lãnh đạo chuyển hoá</t>
  </si>
  <si>
    <t>DH06</t>
  </si>
  <si>
    <t>NLP Master</t>
  </si>
  <si>
    <t>DH07</t>
  </si>
  <si>
    <t>KH13</t>
  </si>
  <si>
    <t>DH17</t>
  </si>
  <si>
    <t>Chương trình đào tạo Train The Trainer</t>
  </si>
  <si>
    <t>DH27</t>
  </si>
  <si>
    <t>Chương trình Lãnh Đạo Chuyển Hóa</t>
  </si>
  <si>
    <t>DH34</t>
  </si>
  <si>
    <t>Chương trình NLP Practitioner</t>
  </si>
  <si>
    <t>DH20</t>
  </si>
  <si>
    <t>Chương trình Master NLP Practitioner</t>
  </si>
  <si>
    <t>DH21</t>
  </si>
  <si>
    <t>1 Chương trình Master NLP Practitioner</t>
  </si>
  <si>
    <t>KH14</t>
  </si>
  <si>
    <t>DH19</t>
  </si>
  <si>
    <t>DH35</t>
  </si>
  <si>
    <t>Business in the Box</t>
  </si>
  <si>
    <t>KH15</t>
  </si>
  <si>
    <t>DH13</t>
  </si>
  <si>
    <t>TT hoc phi khoa hoc</t>
  </si>
  <si>
    <t>KH16</t>
  </si>
  <si>
    <t>Lãnh đạo chuyển hóa</t>
  </si>
  <si>
    <t>KH17</t>
  </si>
  <si>
    <t>cccd: 038190030472
 Maithuyphuong90@gmail.com</t>
  </si>
  <si>
    <t>DH38</t>
  </si>
  <si>
    <t>DH24</t>
  </si>
  <si>
    <t>DH14</t>
  </si>
  <si>
    <t>KH18</t>
  </si>
  <si>
    <t>Nop hoc phi khoa hoc</t>
  </si>
  <si>
    <t>Chưa xin được thông tin</t>
  </si>
  <si>
    <t>DH25</t>
  </si>
  <si>
    <t>DH18</t>
  </si>
  <si>
    <t>KH19</t>
  </si>
  <si>
    <t>LDCH</t>
  </si>
  <si>
    <t>ko xin đc cccd</t>
  </si>
  <si>
    <t>DH26</t>
  </si>
  <si>
    <t>KH20</t>
  </si>
  <si>
    <t>DH15</t>
  </si>
  <si>
    <t>NTTH Chuyen tien</t>
  </si>
  <si>
    <t>NGUYEN HOANG ANH hoc Trainer NLP</t>
  </si>
  <si>
    <t>KH22</t>
  </si>
  <si>
    <t>DH12</t>
  </si>
  <si>
    <t>ck khoa hoc NLP</t>
  </si>
  <si>
    <t>DH36</t>
  </si>
  <si>
    <t>Khóa học NLP Nhà Thực Hành</t>
  </si>
  <si>
    <t>KH23</t>
  </si>
  <si>
    <t>TEAMI ck nhanh qua zalo</t>
  </si>
  <si>
    <t>Chưa xin được thông tin. Cuối tháng học viên đến lớp học thì có thể xin trực tiếp</t>
  </si>
  <si>
    <t>dam thi phuong thao chuyen tien qr</t>
  </si>
  <si>
    <t>DH28</t>
  </si>
  <si>
    <t>tran quang nghiep ck nhanh qua zalo</t>
  </si>
  <si>
    <t>DH11</t>
  </si>
  <si>
    <t>KH29</t>
  </si>
  <si>
    <t>DH29</t>
  </si>
  <si>
    <t>ck nhanh qua zalo</t>
  </si>
  <si>
    <t>DH30</t>
  </si>
  <si>
    <t>NLP Practitioner</t>
  </si>
  <si>
    <t>KH28</t>
  </si>
  <si>
    <t>DH31</t>
  </si>
  <si>
    <t>nguyen trung chien ck nhanh qua zalo</t>
  </si>
  <si>
    <t>DH32</t>
  </si>
  <si>
    <t>KH25</t>
  </si>
  <si>
    <t>VĐHA chuyen tien hoc quan ly</t>
  </si>
  <si>
    <t>DH33</t>
  </si>
  <si>
    <t>DH16</t>
  </si>
  <si>
    <t>Train The Trainer</t>
  </si>
  <si>
    <t>KH24</t>
  </si>
  <si>
    <t>KH27</t>
  </si>
  <si>
    <t>DH22</t>
  </si>
  <si>
    <t>DH23</t>
  </si>
  <si>
    <t>Tên khách hàng</t>
  </si>
  <si>
    <t>Phải thu đầu kỳ</t>
  </si>
  <si>
    <t>Phải thu</t>
  </si>
  <si>
    <t>Phải trả</t>
  </si>
  <si>
    <t>Phải thu cuối kỳ</t>
  </si>
  <si>
    <t xml:space="preserve">Thông Tin xuất Hóa đơn </t>
  </si>
  <si>
    <t>DH37</t>
  </si>
  <si>
    <t>HỌC VIÊN 1</t>
  </si>
  <si>
    <t>HỌC VIÊN 2</t>
  </si>
  <si>
    <t>HỌC VIÊN 3</t>
  </si>
  <si>
    <t>HỌC VIÊN 4</t>
  </si>
  <si>
    <t>HỌC VIÊN 5</t>
  </si>
  <si>
    <t>KH02</t>
  </si>
  <si>
    <t>KH01</t>
  </si>
  <si>
    <t>MAI THUY PHUONG</t>
  </si>
  <si>
    <t>KH03</t>
  </si>
  <si>
    <t>PHAN THI NGOC</t>
  </si>
  <si>
    <t>KH04</t>
  </si>
  <si>
    <t>PHAM THI BICH HUONG</t>
  </si>
  <si>
    <t>STT</t>
  </si>
  <si>
    <t>NGUYEN THI THU HUONG</t>
  </si>
  <si>
    <t>KH07</t>
  </si>
  <si>
    <t>2-3/2</t>
  </si>
  <si>
    <t>KH05</t>
  </si>
  <si>
    <t>LE THI BICH DIỆP</t>
  </si>
  <si>
    <t>9-10/5</t>
  </si>
  <si>
    <t>8-9/8</t>
  </si>
  <si>
    <t>30/5-5/6</t>
  </si>
  <si>
    <t>19-25/8</t>
  </si>
  <si>
    <t>17-25/03</t>
  </si>
  <si>
    <t>28/6-6/7</t>
  </si>
  <si>
    <t>8-25/1</t>
  </si>
  <si>
    <t>KH06</t>
  </si>
  <si>
    <t>14/7-2/8</t>
  </si>
  <si>
    <t>DANG THANH TRA MY</t>
  </si>
  <si>
    <t>Học viên</t>
  </si>
  <si>
    <t>KH08</t>
  </si>
  <si>
    <t>DAM THI PHUONG THAO</t>
  </si>
  <si>
    <t>TRAN QUANG NGHIEP</t>
  </si>
  <si>
    <t>KH09</t>
  </si>
  <si>
    <t>MAI THỊ THANH QUY</t>
  </si>
  <si>
    <t>KH10</t>
  </si>
  <si>
    <t>PHAM XUAN THUY</t>
  </si>
  <si>
    <t>KH11</t>
  </si>
  <si>
    <t>NGUYEN TRUNG CHIEN</t>
  </si>
  <si>
    <t>KH12</t>
  </si>
  <si>
    <t>VU DINH HOANG ANH</t>
  </si>
  <si>
    <t>LỮ KIỀU ANH</t>
  </si>
  <si>
    <t>LÊ THỊ BÍCH NGA</t>
  </si>
  <si>
    <t>NGUYỄN THỊ YẾN</t>
  </si>
  <si>
    <t>CÔNG TY TNHH TINH KHÍ VIỆT</t>
  </si>
  <si>
    <t>CÔNG TY TNHH PAPASAN VIỆT NAM</t>
  </si>
  <si>
    <t>KH21</t>
  </si>
  <si>
    <t>Khách lẻ (Nguyễn Thị Thắm, Nguyễn Thu Huyền)</t>
  </si>
  <si>
    <t>Mã nhóm SP</t>
  </si>
  <si>
    <t>NGUYỄN THỊ THẮM</t>
  </si>
  <si>
    <t>NGUYỄN THU HUYỀN</t>
  </si>
  <si>
    <t>Nhóm sản phẩm</t>
  </si>
  <si>
    <t>Mã sản phẩm</t>
  </si>
  <si>
    <t>LÊ NGỌC LINH</t>
  </si>
  <si>
    <t>PHẠM TRẦN HẢI</t>
  </si>
  <si>
    <t>NLP PR</t>
  </si>
  <si>
    <t>CÔNG TY TNHH DỊCH VỤ VÀ THƯƠNG MẠI MSC</t>
  </si>
  <si>
    <t>NGUYỄN THỊ HIÊN</t>
  </si>
  <si>
    <t>HỘ KINH DOANH NGUYỄN THANH HÙNG</t>
  </si>
  <si>
    <t>NLP MT</t>
  </si>
  <si>
    <t>NGUYỄN HOÀNG ANH</t>
  </si>
  <si>
    <t>CÔNG TY CỔ PHẦN DỊCH VỤ TÀI CHÍNH MINH TRÍ</t>
  </si>
  <si>
    <t>NGUYỄN DIỆU THU</t>
  </si>
  <si>
    <t>NGUYỄN NGỌC HÀ</t>
  </si>
  <si>
    <t>KH26</t>
  </si>
  <si>
    <t>KH30</t>
  </si>
  <si>
    <t>NGUYỄN THỊ NGỌC HÀ</t>
  </si>
  <si>
    <t>LĐCH</t>
  </si>
  <si>
    <t>CÔNG TY TNHH JEJU SKIN VIỆT NAM</t>
  </si>
  <si>
    <t>KH31</t>
  </si>
  <si>
    <t>VÕ TẤN LỢI</t>
  </si>
  <si>
    <t>TTT</t>
  </si>
  <si>
    <t>VÕ THỊ MỸ LỘC</t>
  </si>
  <si>
    <t>DH39</t>
  </si>
  <si>
    <t>NGUYỄN THỊ KIM</t>
  </si>
  <si>
    <t>KH32</t>
  </si>
  <si>
    <t>CC11</t>
  </si>
  <si>
    <t>Coaching 1-1</t>
  </si>
  <si>
    <t>DH40</t>
  </si>
  <si>
    <t>KH33</t>
  </si>
  <si>
    <t>KH34</t>
  </si>
  <si>
    <t>CCBZ</t>
  </si>
  <si>
    <t>Coaching business</t>
  </si>
  <si>
    <t>KH35</t>
  </si>
  <si>
    <t>DH41</t>
  </si>
  <si>
    <t>KH36</t>
  </si>
  <si>
    <t>KH37</t>
  </si>
  <si>
    <t>DH42</t>
  </si>
  <si>
    <t>BB</t>
  </si>
  <si>
    <t>KH38</t>
  </si>
  <si>
    <t>KH39</t>
  </si>
  <si>
    <t>DH43</t>
  </si>
  <si>
    <t>KH40</t>
  </si>
  <si>
    <t>KH41</t>
  </si>
  <si>
    <t>KH42</t>
  </si>
  <si>
    <t>DH44</t>
  </si>
  <si>
    <t>KH43</t>
  </si>
  <si>
    <t>Mã HV</t>
  </si>
  <si>
    <t>KH44</t>
  </si>
  <si>
    <t>DH45</t>
  </si>
  <si>
    <t>Tên học viên</t>
  </si>
  <si>
    <t>Ngày sinh</t>
  </si>
  <si>
    <t>Giới tính</t>
  </si>
  <si>
    <t>Nghề nghiệp</t>
  </si>
  <si>
    <t>KH45</t>
  </si>
  <si>
    <t>Địa chỉ</t>
  </si>
  <si>
    <t>Mail</t>
  </si>
  <si>
    <t>Điện thoại</t>
  </si>
  <si>
    <t>KH46</t>
  </si>
  <si>
    <t>DH46</t>
  </si>
  <si>
    <t>HV01</t>
  </si>
  <si>
    <t>KH47</t>
  </si>
  <si>
    <t>HV02</t>
  </si>
  <si>
    <t>HV03</t>
  </si>
  <si>
    <t>KH48</t>
  </si>
  <si>
    <t>HV04</t>
  </si>
  <si>
    <t>DH47</t>
  </si>
  <si>
    <t>HV05</t>
  </si>
  <si>
    <t>KH49</t>
  </si>
  <si>
    <t>HV06</t>
  </si>
  <si>
    <t>HV07</t>
  </si>
  <si>
    <t>KH50</t>
  </si>
  <si>
    <t>HV08</t>
  </si>
  <si>
    <t>DANH SÁCH HỌC VIÊN THANH TOÁN CHƯA XUẤT HÓA ĐƠN</t>
  </si>
  <si>
    <t>HV09</t>
  </si>
  <si>
    <t>KH51</t>
  </si>
  <si>
    <t>HV10</t>
  </si>
  <si>
    <t>HV11</t>
  </si>
  <si>
    <t>HV12</t>
  </si>
  <si>
    <t>HV13</t>
  </si>
  <si>
    <t>DH48</t>
  </si>
  <si>
    <t>KH52</t>
  </si>
  <si>
    <t xml:space="preserve">ngày ck </t>
  </si>
  <si>
    <t>HV14</t>
  </si>
  <si>
    <t>KH53</t>
  </si>
  <si>
    <t>HV15</t>
  </si>
  <si>
    <t>Họ và tên</t>
  </si>
  <si>
    <t>HV16</t>
  </si>
  <si>
    <t xml:space="preserve">Nội Dung Ck </t>
  </si>
  <si>
    <t>HV17</t>
  </si>
  <si>
    <t>KH54</t>
  </si>
  <si>
    <t>Học phí</t>
  </si>
  <si>
    <t>HV18</t>
  </si>
  <si>
    <t>HV19</t>
  </si>
  <si>
    <t>Nội Dung Xuất HĐ</t>
  </si>
  <si>
    <t xml:space="preserve">Ghi chú </t>
  </si>
  <si>
    <t>KH55</t>
  </si>
  <si>
    <t>HV20</t>
  </si>
  <si>
    <t>DH49</t>
  </si>
  <si>
    <t>THÁNG 2</t>
  </si>
  <si>
    <t>HV21</t>
  </si>
  <si>
    <t>HV22</t>
  </si>
  <si>
    <t>KH56</t>
  </si>
  <si>
    <t>HV23</t>
  </si>
  <si>
    <t>KH57</t>
  </si>
  <si>
    <t>KH58</t>
  </si>
  <si>
    <t>HV24</t>
  </si>
  <si>
    <t>HV25</t>
  </si>
  <si>
    <t>KH59</t>
  </si>
  <si>
    <t>HV26</t>
  </si>
  <si>
    <t>HV27</t>
  </si>
  <si>
    <t>HV28</t>
  </si>
  <si>
    <t>PHAN THỊ HỒNG NHUNG</t>
  </si>
  <si>
    <t>KH60</t>
  </si>
  <si>
    <t xml:space="preserve"> cccd: 038190030472
Maithuyphuong90@gmail.com</t>
  </si>
  <si>
    <t>Cọc chương trình Train The Trainer</t>
  </si>
  <si>
    <t>HV29</t>
  </si>
  <si>
    <t>HV30</t>
  </si>
  <si>
    <t>VU MẠNH HÙNG</t>
  </si>
  <si>
    <t>HV31</t>
  </si>
  <si>
    <t>KH61</t>
  </si>
  <si>
    <t xml:space="preserve">có thể đã xuất năm ngoái </t>
  </si>
  <si>
    <t>THÁNG 3</t>
  </si>
  <si>
    <t>HV32</t>
  </si>
  <si>
    <t>KH62</t>
  </si>
  <si>
    <t>HV33</t>
  </si>
  <si>
    <t>KH63</t>
  </si>
  <si>
    <t>HV34</t>
  </si>
  <si>
    <t>HV35</t>
  </si>
  <si>
    <t>HV36</t>
  </si>
  <si>
    <t>KH64</t>
  </si>
  <si>
    <t>HV37</t>
  </si>
  <si>
    <t>HV38</t>
  </si>
  <si>
    <t>KH65</t>
  </si>
  <si>
    <t>\</t>
  </si>
  <si>
    <t>Học viên ko học Lãnh Đạo Chuyển Hóa nữa. Có thể chuyển sang lớp NLP Master</t>
  </si>
  <si>
    <t>HV39</t>
  </si>
  <si>
    <t>TAT TOAN HĐ</t>
  </si>
  <si>
    <t>KH66</t>
  </si>
  <si>
    <t>HV40</t>
  </si>
  <si>
    <t>HV41</t>
  </si>
  <si>
    <t>NGUYEN THI NGOC</t>
  </si>
  <si>
    <t>NTN CK ĐẾN ONW</t>
  </si>
  <si>
    <t>Chưa có thông tin</t>
  </si>
  <si>
    <t>HV42</t>
  </si>
  <si>
    <t>KH67</t>
  </si>
  <si>
    <t>THÁNG 4</t>
  </si>
  <si>
    <t>HV43</t>
  </si>
  <si>
    <t>KH68</t>
  </si>
  <si>
    <t>HV44</t>
  </si>
  <si>
    <t>HV45</t>
  </si>
  <si>
    <t>KH69</t>
  </si>
  <si>
    <t>HV46</t>
  </si>
  <si>
    <t>NGUYEN THI KIM</t>
  </si>
  <si>
    <t>HV47</t>
  </si>
  <si>
    <t>KH70</t>
  </si>
  <si>
    <t>nop tien hoc phi khoa hoc NLP</t>
  </si>
  <si>
    <t>HV48</t>
  </si>
  <si>
    <t>KH71</t>
  </si>
  <si>
    <t>HV49</t>
  </si>
  <si>
    <t>HV50</t>
  </si>
  <si>
    <t xml:space="preserve"> ck khoa hoc NLP</t>
  </si>
  <si>
    <t>KH72</t>
  </si>
  <si>
    <t>HV51</t>
  </si>
  <si>
    <t>Chương trình Lãnh Đạo Chuyển Hóa 
đăng ký 3 người</t>
  </si>
  <si>
    <t>HV52</t>
  </si>
  <si>
    <t>HV53</t>
  </si>
  <si>
    <t>KH73</t>
  </si>
  <si>
    <t>PHAN THI HONG NHUNG</t>
  </si>
  <si>
    <t>Thông tin lấy hoá đơn đỏ:
Tên cty: Công ty TNHH JeJuskin Việt Nam
Mst: 0110708684
Địa chỉ: tầng 1, 2 số 169 bùi thị xuân, HBT, HN
Email: info.ketoanjeju@gmail.com</t>
  </si>
  <si>
    <t>"Nội dung: Chương trình NLP Practitioner</t>
  </si>
  <si>
    <t>HV54</t>
  </si>
  <si>
    <t xml:space="preserve">NGUYEN DIEU THU </t>
  </si>
  <si>
    <t>dong hoc phi khoa hoc NLP</t>
  </si>
  <si>
    <t xml:space="preserve">  Thông tin lấy hóa đơn: 
 Công ty cổ phần dịch vụ tài chính Minh Trí 
  - Địa chỉ: số 4, ngõ Bà Triệu, Phố Bà Triệu, Phường Hai Bà Trưng, Tp HN, VN 
 - Mã số thuế: 0109544248
 Email: taichinhminhtri@gmail.com 
 Sdt: 0936313088</t>
  </si>
  <si>
    <t>HV55</t>
  </si>
  <si>
    <t>Nội dung: Chương trình NLP Practitioner</t>
  </si>
  <si>
    <t>HV56</t>
  </si>
  <si>
    <t xml:space="preserve">TEAMI ck nhanh qua zalo </t>
  </si>
  <si>
    <t>KH74</t>
  </si>
  <si>
    <t>THÁNG 5</t>
  </si>
  <si>
    <t>HV57</t>
  </si>
  <si>
    <t>HV58</t>
  </si>
  <si>
    <t>HV59</t>
  </si>
  <si>
    <t>KH75</t>
  </si>
  <si>
    <t>HV60</t>
  </si>
  <si>
    <t>Chương trình Lãnh Đạo Chuyển Hóa
đăng ký 2 người</t>
  </si>
  <si>
    <t>HV61</t>
  </si>
  <si>
    <t>KH76</t>
  </si>
  <si>
    <t>HV62</t>
  </si>
  <si>
    <t>KH77</t>
  </si>
  <si>
    <t>HV63</t>
  </si>
  <si>
    <t>HV64</t>
  </si>
  <si>
    <t>HV65</t>
  </si>
  <si>
    <t>KH78</t>
  </si>
  <si>
    <t>HV66</t>
  </si>
  <si>
    <t>HV67</t>
  </si>
  <si>
    <t>KH79</t>
  </si>
  <si>
    <t>HV68</t>
  </si>
  <si>
    <t>HV69</t>
  </si>
  <si>
    <t>HV70</t>
  </si>
  <si>
    <t>HV71</t>
  </si>
  <si>
    <t>KH80</t>
  </si>
  <si>
    <t>HV72</t>
  </si>
  <si>
    <t>HV73</t>
  </si>
  <si>
    <t>HV74</t>
  </si>
  <si>
    <t>KH81</t>
  </si>
  <si>
    <t>HV75</t>
  </si>
  <si>
    <t>HV76</t>
  </si>
  <si>
    <t>HV77</t>
  </si>
  <si>
    <t>KH82</t>
  </si>
  <si>
    <t>HV78</t>
  </si>
  <si>
    <t>HV79</t>
  </si>
  <si>
    <t>KH83</t>
  </si>
  <si>
    <t>HV80</t>
  </si>
  <si>
    <t>HV81</t>
  </si>
  <si>
    <t>KH84</t>
  </si>
  <si>
    <t>HV82</t>
  </si>
  <si>
    <t>HV83</t>
  </si>
  <si>
    <t>KH85</t>
  </si>
  <si>
    <t>HV84</t>
  </si>
  <si>
    <t>HV85</t>
  </si>
  <si>
    <t>HV86</t>
  </si>
  <si>
    <t>KH86</t>
  </si>
  <si>
    <t>HV87</t>
  </si>
  <si>
    <t>KH87</t>
  </si>
  <si>
    <t>HV88</t>
  </si>
  <si>
    <t>HV89</t>
  </si>
  <si>
    <t>KH88</t>
  </si>
  <si>
    <t>HV90</t>
  </si>
  <si>
    <t>HV91</t>
  </si>
  <si>
    <t>KH89</t>
  </si>
  <si>
    <t>HV92</t>
  </si>
  <si>
    <t>HV93</t>
  </si>
  <si>
    <t>KH90</t>
  </si>
  <si>
    <t>HV94</t>
  </si>
  <si>
    <t>HV95</t>
  </si>
  <si>
    <t>KH91</t>
  </si>
  <si>
    <t>HV96</t>
  </si>
  <si>
    <t>KH97</t>
  </si>
  <si>
    <t>KH98</t>
  </si>
  <si>
    <t>KH92</t>
  </si>
  <si>
    <t>KH99</t>
  </si>
  <si>
    <t>KH100</t>
  </si>
  <si>
    <t>KH101</t>
  </si>
  <si>
    <t>KH93</t>
  </si>
  <si>
    <t>KH102</t>
  </si>
  <si>
    <t>KH103</t>
  </si>
  <si>
    <t>KH104</t>
  </si>
  <si>
    <t>KH94</t>
  </si>
  <si>
    <t>KH105</t>
  </si>
  <si>
    <t>KH106</t>
  </si>
  <si>
    <t>KH95</t>
  </si>
  <si>
    <t>KH107</t>
  </si>
  <si>
    <t>KH108</t>
  </si>
  <si>
    <t>KH96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</si>
</sst>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_-* #,##0\ _₫_-;\-* #,##0\ _₫_-;_-* &quot;-&quot;??\ _₫_-;_-@"/>
  </numFmts>
  <fonts count="27">
    <font>
      <sz val="10.0"/>
      <color rgb="FF000000"/>
      <name val="Arial"/>
      <scheme val="minor"/>
    </font>
    <font>
      <b/>
      <sz val="11.0"/>
      <color rgb="FFFFFFFF"/>
      <name val="Times New Roman"/>
    </font>
    <font>
      <b/>
      <sz val="10.0"/>
      <color rgb="FF000000"/>
      <name val="Times New Roman"/>
    </font>
    <font>
      <b/>
      <sz val="12.0"/>
      <color rgb="FFFF0000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Times New Roman"/>
    </font>
    <font>
      <color theme="1"/>
      <name val="Times New Roman"/>
    </font>
    <font>
      <b/>
      <sz val="10.0"/>
      <color rgb="FFFF0000"/>
      <name val="Times New Roman"/>
    </font>
    <font>
      <b/>
      <color theme="1"/>
      <name val="Times New Roman"/>
    </font>
    <font>
      <b/>
      <sz val="12.0"/>
      <color rgb="FF0000FF"/>
      <name val="Times New Roman"/>
    </font>
    <font>
      <b/>
      <sz val="11.0"/>
      <color rgb="FFFF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sz val="11.0"/>
      <color theme="1"/>
      <name val="Times New Roman"/>
    </font>
    <font>
      <sz val="12.0"/>
      <color rgb="FF000000"/>
      <name val="Times New Roman"/>
    </font>
    <font>
      <b/>
      <sz val="11.0"/>
      <color rgb="FF000000"/>
      <name val="Times New Roman"/>
    </font>
    <font>
      <b/>
      <sz val="11.0"/>
      <color rgb="FF0000FF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color rgb="FF0000FF"/>
      <name val="Times New Roman"/>
    </font>
    <font>
      <b/>
      <color rgb="FFFF0000"/>
      <name val="Times New Roman"/>
    </font>
    <font>
      <b/>
      <sz val="14.0"/>
      <color theme="1"/>
      <name val="Times New Roman"/>
    </font>
    <font>
      <sz val="12.0"/>
      <color theme="1"/>
      <name val="Arial"/>
    </font>
    <font>
      <b/>
      <sz val="14.0"/>
      <color rgb="FFFF0000"/>
      <name val="Times New Roman"/>
    </font>
    <font>
      <sz val="14.0"/>
      <color theme="1"/>
      <name val="Times New Roman"/>
    </font>
    <font>
      <sz val="14.0"/>
      <color rgb="FFFF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1" fillId="3" fontId="2" numFmtId="3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1" fillId="0" fontId="7" numFmtId="0" xfId="0" applyBorder="1" applyFont="1"/>
    <xf borderId="1" fillId="2" fontId="1" numFmtId="3" xfId="0" applyAlignment="1" applyBorder="1" applyFont="1" applyNumberFormat="1">
      <alignment horizontal="center" shrinkToFit="0" vertical="center" wrapText="1"/>
    </xf>
    <xf borderId="0" fillId="3" fontId="4" numFmtId="3" xfId="0" applyAlignment="1" applyFont="1" applyNumberFormat="1">
      <alignment horizontal="center" readingOrder="0" shrinkToFit="0" vertical="center" wrapText="1"/>
    </xf>
    <xf borderId="1" fillId="3" fontId="8" numFmtId="3" xfId="0" applyAlignment="1" applyBorder="1" applyFont="1" applyNumberFormat="1">
      <alignment horizontal="center" readingOrder="0" shrinkToFit="0" vertical="center" wrapText="1"/>
    </xf>
    <xf borderId="1" fillId="3" fontId="7" numFmtId="0" xfId="0" applyBorder="1" applyFont="1"/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3" fontId="9" numFmtId="3" xfId="0" applyBorder="1" applyFont="1" applyNumberFormat="1"/>
    <xf borderId="1" fillId="0" fontId="10" numFmtId="3" xfId="0" applyAlignment="1" applyBorder="1" applyFont="1" applyNumberForma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12" numFmtId="0" xfId="0" applyBorder="1" applyFont="1"/>
    <xf borderId="1" fillId="0" fontId="7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13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bottom" wrapText="0"/>
    </xf>
    <xf borderId="1" fillId="3" fontId="15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14" numFmtId="3" xfId="0" applyAlignment="1" applyBorder="1" applyFont="1" applyNumberFormat="1">
      <alignment horizontal="center" readingOrder="0" shrinkToFit="0" vertical="center" wrapText="1"/>
    </xf>
    <xf borderId="1" fillId="3" fontId="7" numFmtId="3" xfId="0" applyBorder="1" applyFont="1" applyNumberFormat="1"/>
    <xf borderId="1" fillId="0" fontId="14" numFmtId="3" xfId="0" applyBorder="1" applyFont="1" applyNumberFormat="1"/>
    <xf borderId="1" fillId="0" fontId="6" numFmtId="3" xfId="0" applyAlignment="1" applyBorder="1" applyFont="1" applyNumberFormat="1">
      <alignment horizontal="center" readingOrder="0" shrinkToFit="0" vertical="bottom" wrapText="0"/>
    </xf>
    <xf borderId="1" fillId="4" fontId="14" numFmtId="3" xfId="0" applyAlignment="1" applyBorder="1" applyFill="1" applyFont="1" applyNumberFormat="1">
      <alignment horizontal="center" readingOrder="0" shrinkToFit="0" vertical="center" wrapText="1"/>
    </xf>
    <xf borderId="1" fillId="0" fontId="14" numFmtId="0" xfId="0" applyBorder="1" applyFont="1"/>
    <xf borderId="1" fillId="3" fontId="6" numFmtId="3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4" numFmtId="9" xfId="0" applyAlignment="1" applyBorder="1" applyFont="1" applyNumberFormat="1">
      <alignment horizontal="center" readingOrder="0" shrinkToFit="0" vertical="center" wrapText="1"/>
    </xf>
    <xf borderId="1" fillId="0" fontId="6" numFmtId="9" xfId="0" applyAlignment="1" applyBorder="1" applyFont="1" applyNumberForma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1" fillId="3" fontId="14" numFmtId="3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readingOrder="0"/>
    </xf>
    <xf borderId="1" fillId="3" fontId="3" numFmtId="3" xfId="0" applyAlignment="1" applyBorder="1" applyFont="1" applyNumberFormat="1">
      <alignment horizontal="right" readingOrder="0" shrinkToFit="0" vertical="bottom" wrapText="0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center" readingOrder="0" shrinkToFit="0" vertical="bottom" wrapText="0"/>
    </xf>
    <xf borderId="1" fillId="3" fontId="12" numFmtId="0" xfId="0" applyAlignment="1" applyBorder="1" applyFont="1">
      <alignment shrinkToFit="0" wrapText="1"/>
    </xf>
    <xf borderId="1" fillId="0" fontId="17" numFmtId="3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readingOrder="0"/>
    </xf>
    <xf borderId="1" fillId="0" fontId="13" numFmtId="3" xfId="0" applyAlignment="1" applyBorder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1" fillId="3" fontId="13" numFmtId="3" xfId="0" applyAlignment="1" applyBorder="1" applyFont="1" applyNumberFormat="1">
      <alignment horizontal="right" readingOrder="0" shrinkToFit="0" vertical="bottom" wrapText="0"/>
    </xf>
    <xf borderId="1" fillId="3" fontId="18" numFmtId="0" xfId="0" applyAlignment="1" applyBorder="1" applyFont="1">
      <alignment shrinkToFit="0" wrapText="1"/>
    </xf>
    <xf borderId="1" fillId="0" fontId="15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readingOrder="0"/>
    </xf>
    <xf borderId="1" fillId="0" fontId="13" numFmtId="9" xfId="0" applyAlignment="1" applyBorder="1" applyFont="1" applyNumberFormat="1">
      <alignment horizontal="right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readingOrder="0"/>
    </xf>
    <xf borderId="1" fillId="0" fontId="13" numFmtId="0" xfId="0" applyAlignment="1" applyBorder="1" applyFont="1">
      <alignment readingOrder="0" shrinkToFit="0" vertical="bottom" wrapText="1"/>
    </xf>
    <xf borderId="1" fillId="0" fontId="15" numFmtId="3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readingOrder="0" shrinkToFit="0" wrapText="1"/>
    </xf>
    <xf borderId="1" fillId="3" fontId="15" numFmtId="3" xfId="0" applyAlignment="1" applyBorder="1" applyFont="1" applyNumberFormat="1">
      <alignment horizontal="right" readingOrder="0" shrinkToFit="0" vertical="bottom" wrapText="0"/>
    </xf>
    <xf borderId="1" fillId="0" fontId="15" numFmtId="9" xfId="0" applyAlignment="1" applyBorder="1" applyFont="1" applyNumberFormat="1">
      <alignment horizontal="center" readingOrder="0" shrinkToFit="0" vertical="bottom" wrapText="0"/>
    </xf>
    <xf borderId="1" fillId="4" fontId="14" numFmtId="3" xfId="0" applyBorder="1" applyFont="1" applyNumberFormat="1"/>
    <xf borderId="1" fillId="0" fontId="14" numFmtId="9" xfId="0" applyAlignment="1" applyBorder="1" applyFont="1" applyNumberFormat="1">
      <alignment readingOrder="0"/>
    </xf>
    <xf borderId="1" fillId="3" fontId="19" numFmtId="3" xfId="0" applyAlignment="1" applyBorder="1" applyFont="1" applyNumberFormat="1">
      <alignment horizontal="right" readingOrder="0" shrinkToFit="0" vertical="bottom" wrapText="0"/>
    </xf>
    <xf borderId="1" fillId="3" fontId="14" numFmtId="3" xfId="0" applyBorder="1" applyFont="1" applyNumberFormat="1"/>
    <xf borderId="1" fillId="0" fontId="11" numFmtId="3" xfId="0" applyBorder="1" applyFont="1" applyNumberFormat="1"/>
    <xf borderId="1" fillId="0" fontId="15" numFmtId="0" xfId="0" applyAlignment="1" applyBorder="1" applyFont="1">
      <alignment shrinkToFit="0" vertical="bottom" wrapText="0"/>
    </xf>
    <xf borderId="1" fillId="0" fontId="17" numFmtId="3" xfId="0" applyBorder="1" applyFont="1" applyNumberForma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8" numFmtId="3" xfId="0" applyBorder="1" applyFont="1" applyNumberFormat="1"/>
    <xf borderId="1" fillId="0" fontId="18" numFmtId="3" xfId="0" applyAlignment="1" applyBorder="1" applyFont="1" applyNumberFormat="1">
      <alignment readingOrder="0"/>
    </xf>
    <xf borderId="1" fillId="4" fontId="18" numFmtId="3" xfId="0" applyBorder="1" applyFont="1" applyNumberFormat="1"/>
    <xf borderId="1" fillId="0" fontId="18" numFmtId="9" xfId="0" applyAlignment="1" applyBorder="1" applyFont="1" applyNumberFormat="1">
      <alignment readingOrder="0"/>
    </xf>
    <xf borderId="1" fillId="3" fontId="18" numFmtId="3" xfId="0" applyBorder="1" applyFont="1" applyNumberFormat="1"/>
    <xf borderId="1" fillId="0" fontId="19" numFmtId="3" xfId="0" applyBorder="1" applyFont="1" applyNumberFormat="1"/>
    <xf borderId="1" fillId="0" fontId="20" numFmtId="0" xfId="0" applyAlignment="1" applyBorder="1" applyFont="1">
      <alignment readingOrder="0"/>
    </xf>
    <xf borderId="1" fillId="5" fontId="13" numFmtId="164" xfId="0" applyAlignment="1" applyBorder="1" applyFill="1" applyFont="1" applyNumberFormat="1">
      <alignment horizontal="center" readingOrder="0"/>
    </xf>
    <xf borderId="1" fillId="5" fontId="15" numFmtId="164" xfId="0" applyAlignment="1" applyBorder="1" applyFont="1" applyNumberFormat="1">
      <alignment horizontal="left" readingOrder="0"/>
    </xf>
    <xf borderId="1" fillId="5" fontId="13" numFmtId="3" xfId="0" applyAlignment="1" applyBorder="1" applyFont="1" applyNumberFormat="1">
      <alignment horizontal="right" readingOrder="0"/>
    </xf>
    <xf borderId="1" fillId="5" fontId="15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center" readingOrder="0"/>
    </xf>
    <xf borderId="1" fillId="0" fontId="13" numFmtId="9" xfId="0" applyAlignment="1" applyBorder="1" applyFont="1" applyNumberFormat="1">
      <alignment readingOrder="0" shrinkToFit="0" vertical="bottom" wrapText="0"/>
    </xf>
    <xf borderId="1" fillId="5" fontId="15" numFmtId="3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 shrinkToFit="0" vertical="center" wrapText="0"/>
    </xf>
    <xf borderId="2" fillId="5" fontId="13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left" readingOrder="0"/>
    </xf>
    <xf borderId="1" fillId="0" fontId="13" numFmtId="3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horizontal="center"/>
    </xf>
    <xf borderId="1" fillId="0" fontId="13" numFmtId="9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left" readingOrder="0" vertical="bottom"/>
    </xf>
    <xf borderId="3" fillId="0" fontId="13" numFmtId="0" xfId="0" applyAlignment="1" applyBorder="1" applyFont="1">
      <alignment horizontal="center" readingOrder="0" shrinkToFit="0" vertical="center" wrapText="0"/>
    </xf>
    <xf borderId="1" fillId="0" fontId="15" numFmtId="164" xfId="0" applyAlignment="1" applyBorder="1" applyFont="1" applyNumberFormat="1">
      <alignment horizontal="left" readingOrder="0" vertical="bottom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readingOrder="0" shrinkToFit="0" vertical="bottom" wrapText="1"/>
    </xf>
    <xf borderId="1" fillId="0" fontId="15" numFmtId="3" xfId="0" applyAlignment="1" applyBorder="1" applyFont="1" applyNumberFormat="1">
      <alignment horizontal="center" readingOrder="0" vertical="bottom"/>
    </xf>
    <xf borderId="1" fillId="0" fontId="18" numFmtId="0" xfId="0" applyAlignment="1" applyBorder="1" applyFont="1">
      <alignment horizontal="left" readingOrder="0"/>
    </xf>
    <xf borderId="1" fillId="5" fontId="15" numFmtId="164" xfId="0" applyAlignment="1" applyBorder="1" applyFont="1" applyNumberFormat="1">
      <alignment horizontal="center" readingOrder="0"/>
    </xf>
    <xf borderId="1" fillId="5" fontId="15" numFmtId="3" xfId="0" applyAlignment="1" applyBorder="1" applyFont="1" applyNumberFormat="1">
      <alignment horizontal="right" readingOrder="0"/>
    </xf>
    <xf borderId="1" fillId="0" fontId="15" numFmtId="3" xfId="0" applyAlignment="1" applyBorder="1" applyFont="1" applyNumberFormat="1">
      <alignment readingOrder="0" shrinkToFit="0" vertical="bottom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5" numFmtId="3" xfId="0" applyAlignment="1" applyBorder="1" applyFont="1" applyNumberFormat="1">
      <alignment horizontal="center" readingOrder="0" shrinkToFit="0" vertical="center" wrapText="0"/>
    </xf>
    <xf borderId="1" fillId="0" fontId="15" numFmtId="9" xfId="0" applyAlignment="1" applyBorder="1" applyFont="1" applyNumberFormat="1">
      <alignment horizontal="center" readingOrder="0" shrinkToFit="0" vertical="center" wrapText="0"/>
    </xf>
    <xf borderId="2" fillId="5" fontId="15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0"/>
    </xf>
    <xf borderId="3" fillId="0" fontId="15" numFmtId="3" xfId="0" applyAlignment="1" applyBorder="1" applyFont="1" applyNumberFormat="1">
      <alignment horizontal="center" readingOrder="0" shrinkToFit="0" vertical="center" wrapText="0"/>
    </xf>
    <xf borderId="4" fillId="0" fontId="15" numFmtId="3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/>
    </xf>
    <xf borderId="1" fillId="3" fontId="4" numFmtId="3" xfId="0" applyAlignment="1" applyBorder="1" applyFont="1" applyNumberFormat="1">
      <alignment horizontal="center" readingOrder="0"/>
    </xf>
    <xf borderId="1" fillId="0" fontId="18" numFmtId="0" xfId="0" applyBorder="1" applyFont="1"/>
    <xf borderId="1" fillId="0" fontId="4" numFmtId="0" xfId="0" applyAlignment="1" applyBorder="1" applyFont="1">
      <alignment horizontal="center" vertical="bottom"/>
    </xf>
    <xf borderId="1" fillId="5" fontId="15" numFmtId="0" xfId="0" applyAlignment="1" applyBorder="1" applyFont="1">
      <alignment horizontal="left" readingOrder="0"/>
    </xf>
    <xf borderId="1" fillId="3" fontId="4" numFmtId="3" xfId="0" applyAlignment="1" applyBorder="1" applyFont="1" applyNumberFormat="1">
      <alignment horizontal="right" readingOrder="0"/>
    </xf>
    <xf borderId="0" fillId="0" fontId="18" numFmtId="0" xfId="0" applyAlignment="1" applyFont="1">
      <alignment horizontal="center"/>
    </xf>
    <xf borderId="1" fillId="0" fontId="15" numFmtId="164" xfId="0" applyAlignment="1" applyBorder="1" applyFont="1" applyNumberFormat="1">
      <alignment horizontal="left" readingOrder="0" shrinkToFit="0" vertical="center" wrapText="0"/>
    </xf>
    <xf borderId="1" fillId="3" fontId="18" numFmtId="3" xfId="0" applyAlignment="1" applyBorder="1" applyFont="1" applyNumberFormat="1">
      <alignment horizontal="right" readingOrder="0"/>
    </xf>
    <xf borderId="1" fillId="0" fontId="15" numFmtId="165" xfId="0" applyAlignment="1" applyBorder="1" applyFont="1" applyNumberFormat="1">
      <alignment horizontal="center" shrinkToFit="0" vertical="center" wrapText="0"/>
    </xf>
    <xf borderId="1" fillId="3" fontId="18" numFmtId="3" xfId="0" applyAlignment="1" applyBorder="1" applyFont="1" applyNumberFormat="1">
      <alignment horizontal="right"/>
    </xf>
    <xf borderId="0" fillId="0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7" fontId="21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8" numFmtId="0" xfId="0" applyFont="1"/>
    <xf borderId="0" fillId="3" fontId="13" numFmtId="0" xfId="0" applyAlignment="1" applyFont="1">
      <alignment readingOrder="0"/>
    </xf>
    <xf borderId="0" fillId="3" fontId="13" numFmtId="0" xfId="0" applyAlignment="1" applyFont="1">
      <alignment readingOrder="0" shrinkToFit="0" wrapText="1"/>
    </xf>
    <xf borderId="0" fillId="6" fontId="13" numFmtId="0" xfId="0" applyAlignment="1" applyFont="1">
      <alignment readingOrder="0"/>
    </xf>
    <xf borderId="0" fillId="6" fontId="18" numFmtId="0" xfId="0" applyAlignment="1" applyFont="1">
      <alignment readingOrder="0" shrinkToFit="0" wrapText="1"/>
    </xf>
    <xf borderId="0" fillId="6" fontId="18" numFmtId="0" xfId="0" applyFont="1"/>
    <xf borderId="0" fillId="6" fontId="18" numFmtId="0" xfId="0" applyAlignment="1" applyFont="1">
      <alignment shrinkToFit="0" wrapText="1"/>
    </xf>
    <xf borderId="0" fillId="7" fontId="18" numFmtId="0" xfId="0" applyFont="1"/>
    <xf borderId="0" fillId="7" fontId="18" numFmtId="0" xfId="0" applyAlignment="1" applyFont="1">
      <alignment shrinkToFit="0" wrapText="1"/>
    </xf>
    <xf borderId="0" fillId="8" fontId="18" numFmtId="0" xfId="0" applyFont="1"/>
    <xf borderId="0" fillId="8" fontId="18" numFmtId="0" xfId="0" applyAlignment="1" applyFont="1">
      <alignment shrinkToFit="0" wrapText="1"/>
    </xf>
    <xf borderId="0" fillId="6" fontId="7" numFmtId="0" xfId="0" applyAlignment="1" applyFont="1">
      <alignment shrinkToFit="0" wrapText="1"/>
    </xf>
    <xf borderId="0" fillId="3" fontId="18" numFmtId="0" xfId="0" applyAlignment="1" applyFont="1">
      <alignment readingOrder="0"/>
    </xf>
    <xf borderId="0" fillId="3" fontId="18" numFmtId="0" xfId="0" applyAlignment="1" applyFont="1">
      <alignment readingOrder="0" shrinkToFit="0" wrapText="1"/>
    </xf>
    <xf borderId="0" fillId="6" fontId="18" numFmtId="0" xfId="0" applyAlignment="1" applyFont="1">
      <alignment readingOrder="0"/>
    </xf>
    <xf borderId="0" fillId="6" fontId="13" numFmtId="0" xfId="0" applyAlignment="1" applyFont="1">
      <alignment readingOrder="0" shrinkToFit="0" wrapText="1"/>
    </xf>
    <xf borderId="0" fillId="3" fontId="18" numFmtId="0" xfId="0" applyFont="1"/>
    <xf borderId="0" fillId="3" fontId="18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9" numFmtId="3" xfId="0" applyBorder="1" applyFont="1" applyNumberFormat="1"/>
    <xf borderId="1" fillId="0" fontId="4" numFmtId="3" xfId="0" applyBorder="1" applyFont="1" applyNumberFormat="1"/>
    <xf borderId="0" fillId="3" fontId="18" numFmtId="3" xfId="0" applyAlignment="1" applyFont="1" applyNumberFormat="1">
      <alignment horizontal="right" readingOrder="0"/>
    </xf>
    <xf borderId="1" fillId="0" fontId="18" numFmtId="0" xfId="0" applyAlignment="1" applyBorder="1" applyFont="1">
      <alignment horizontal="left"/>
    </xf>
    <xf borderId="1" fillId="0" fontId="14" numFmtId="0" xfId="0" applyAlignment="1" applyBorder="1" applyFon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readingOrder="0" shrinkToFit="0" wrapText="1"/>
    </xf>
    <xf borderId="1" fillId="0" fontId="12" numFmtId="164" xfId="0" applyBorder="1" applyFont="1" applyNumberFormat="1"/>
    <xf borderId="1" fillId="0" fontId="13" numFmtId="0" xfId="0" applyAlignment="1" applyBorder="1" applyFont="1">
      <alignment horizontal="left" readingOrder="0" vertical="bottom"/>
    </xf>
    <xf borderId="0" fillId="0" fontId="22" numFmtId="0" xfId="0" applyAlignment="1" applyFont="1">
      <alignment horizontal="left" shrinkToFit="0" vertical="bottom" wrapText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3" numFmtId="165" xfId="0" applyAlignment="1" applyFont="1" applyNumberFormat="1">
      <alignment vertical="bottom"/>
    </xf>
    <xf borderId="0" fillId="0" fontId="23" numFmtId="0" xfId="0" applyAlignment="1" applyFont="1">
      <alignment horizontal="left" shrinkToFit="0" vertical="bottom" wrapText="0"/>
    </xf>
    <xf borderId="0" fillId="0" fontId="23" numFmtId="164" xfId="0" applyAlignment="1" applyFont="1" applyNumberFormat="1">
      <alignment vertical="bottom"/>
    </xf>
    <xf borderId="1" fillId="0" fontId="22" numFmtId="0" xfId="0" applyAlignment="1" applyBorder="1" applyFont="1">
      <alignment horizontal="left" shrinkToFit="0" wrapText="0"/>
    </xf>
    <xf borderId="1" fillId="0" fontId="13" numFmtId="0" xfId="0" applyAlignment="1" applyBorder="1" applyFont="1">
      <alignment horizontal="left" readingOrder="0" shrinkToFit="0" vertical="bottom" wrapText="1"/>
    </xf>
    <xf borderId="1" fillId="0" fontId="22" numFmtId="164" xfId="0" applyAlignment="1" applyBorder="1" applyFont="1" applyNumberForma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0" fontId="22" numFmtId="165" xfId="0" applyAlignment="1" applyBorder="1" applyFont="1" applyNumberFormat="1">
      <alignment horizontal="center" shrinkToFit="0" wrapText="1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vertical="bottom"/>
    </xf>
    <xf borderId="1" fillId="0" fontId="24" numFmtId="0" xfId="0" applyAlignment="1" applyBorder="1" applyFont="1">
      <alignment horizontal="left" shrinkToFit="0" wrapText="0"/>
    </xf>
    <xf borderId="1" fillId="0" fontId="23" numFmtId="164" xfId="0" applyBorder="1" applyFont="1" applyNumberFormat="1"/>
    <xf borderId="1" fillId="0" fontId="23" numFmtId="0" xfId="0" applyBorder="1" applyFont="1"/>
    <xf borderId="1" fillId="0" fontId="23" numFmtId="165" xfId="0" applyBorder="1" applyFont="1" applyNumberFormat="1"/>
    <xf borderId="1" fillId="0" fontId="23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/>
    </xf>
    <xf borderId="1" fillId="5" fontId="25" numFmtId="0" xfId="0" applyAlignment="1" applyBorder="1" applyFont="1">
      <alignment horizontal="left" shrinkToFit="0" wrapText="0"/>
    </xf>
    <xf borderId="1" fillId="5" fontId="25" numFmtId="164" xfId="0" applyAlignment="1" applyBorder="1" applyFont="1" applyNumberFormat="1">
      <alignment horizontal="center" shrinkToFit="0" wrapText="1"/>
    </xf>
    <xf borderId="1" fillId="5" fontId="25" numFmtId="0" xfId="0" applyAlignment="1" applyBorder="1" applyFont="1">
      <alignment shrinkToFit="0" wrapText="1"/>
    </xf>
    <xf borderId="1" fillId="5" fontId="25" numFmtId="165" xfId="0" applyAlignment="1" applyBorder="1" applyFont="1" applyNumberFormat="1">
      <alignment horizontal="center" shrinkToFit="0" wrapText="1"/>
    </xf>
    <xf borderId="1" fillId="0" fontId="25" numFmtId="0" xfId="0" applyAlignment="1" applyBorder="1" applyFont="1">
      <alignment shrinkToFit="0" vertical="bottom" wrapText="1"/>
    </xf>
    <xf borderId="1" fillId="5" fontId="23" numFmtId="165" xfId="0" applyBorder="1" applyFont="1" applyNumberFormat="1"/>
    <xf borderId="1" fillId="5" fontId="23" numFmtId="164" xfId="0" applyBorder="1" applyFont="1" applyNumberFormat="1"/>
    <xf borderId="1" fillId="0" fontId="12" numFmtId="0" xfId="0" applyAlignment="1" applyBorder="1" applyFont="1">
      <alignment horizontal="left"/>
    </xf>
    <xf borderId="1" fillId="5" fontId="23" numFmtId="0" xfId="0" applyBorder="1" applyFont="1"/>
    <xf borderId="1" fillId="5" fontId="25" numFmtId="165" xfId="0" applyAlignment="1" applyBorder="1" applyFont="1" applyNumberFormat="1">
      <alignment horizontal="right" shrinkToFit="0" wrapText="1"/>
    </xf>
    <xf borderId="1" fillId="5" fontId="24" numFmtId="0" xfId="0" applyAlignment="1" applyBorder="1" applyFont="1">
      <alignment horizontal="left" shrinkToFit="0" wrapText="0"/>
    </xf>
    <xf borderId="1" fillId="0" fontId="25" numFmtId="0" xfId="0" applyAlignment="1" applyBorder="1" applyFont="1">
      <alignment vertical="bottom"/>
    </xf>
    <xf borderId="1" fillId="8" fontId="25" numFmtId="0" xfId="0" applyAlignment="1" applyBorder="1" applyFont="1">
      <alignment horizontal="left" shrinkToFit="0" wrapText="0"/>
    </xf>
    <xf borderId="1" fillId="8" fontId="25" numFmtId="14" xfId="0" applyAlignment="1" applyBorder="1" applyFont="1" applyNumberFormat="1">
      <alignment horizontal="center" vertical="bottom"/>
    </xf>
    <xf borderId="1" fillId="8" fontId="25" numFmtId="0" xfId="0" applyAlignment="1" applyBorder="1" applyFont="1">
      <alignment vertical="bottom"/>
    </xf>
    <xf borderId="1" fillId="8" fontId="25" numFmtId="165" xfId="0" applyAlignment="1" applyBorder="1" applyFont="1" applyNumberFormat="1">
      <alignment horizontal="right" vertical="bottom"/>
    </xf>
    <xf borderId="1" fillId="8" fontId="25" numFmtId="0" xfId="0" applyAlignment="1" applyBorder="1" applyFont="1">
      <alignment shrinkToFit="0" vertical="bottom" wrapText="1"/>
    </xf>
    <xf borderId="1" fillId="8" fontId="23" numFmtId="0" xfId="0" applyAlignment="1" applyBorder="1" applyFont="1">
      <alignment vertical="bottom"/>
    </xf>
    <xf borderId="1" fillId="0" fontId="25" numFmtId="164" xfId="0" applyAlignment="1" applyBorder="1" applyFont="1" applyNumberFormat="1">
      <alignment horizontal="center" vertical="bottom"/>
    </xf>
    <xf borderId="1" fillId="0" fontId="25" numFmtId="165" xfId="0" applyAlignment="1" applyBorder="1" applyFont="1" applyNumberFormat="1">
      <alignment horizontal="right" vertical="bottom"/>
    </xf>
    <xf borderId="0" fillId="8" fontId="25" numFmtId="0" xfId="0" applyAlignment="1" applyFont="1">
      <alignment shrinkToFit="0" vertical="bottom" wrapText="1"/>
    </xf>
    <xf borderId="1" fillId="5" fontId="26" numFmtId="0" xfId="0" applyAlignment="1" applyBorder="1" applyFont="1">
      <alignment horizontal="left" shrinkToFit="0" wrapText="0"/>
    </xf>
    <xf borderId="0" fillId="0" fontId="25" numFmtId="165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2" width="7.0"/>
    <col customWidth="1" min="3" max="3" width="20.63"/>
    <col customWidth="1" min="4" max="4" width="8.38"/>
    <col customWidth="1" min="5" max="5" width="29.13"/>
    <col customWidth="1" min="6" max="6" width="14.0"/>
    <col customWidth="1" min="7" max="7" width="11.75"/>
    <col customWidth="1" min="8" max="9" width="14.0"/>
    <col customWidth="1" min="10" max="10" width="6.38"/>
    <col customWidth="1" min="11" max="11" width="12.63"/>
    <col customWidth="1" min="12" max="12" width="13.88"/>
    <col customWidth="1" min="13" max="13" width="12.63"/>
    <col customWidth="1" min="14" max="14" width="14.0"/>
    <col customWidth="1" min="15" max="15" width="12.63"/>
    <col customWidth="1" min="16" max="16" width="9.0"/>
  </cols>
  <sheetData>
    <row r="1">
      <c r="A1" s="3"/>
      <c r="B1" s="3"/>
      <c r="C1" s="7"/>
      <c r="D1" s="12"/>
      <c r="E1" s="12"/>
      <c r="F1" s="7"/>
      <c r="G1" s="14"/>
      <c r="H1" s="14" t="s">
        <v>30</v>
      </c>
      <c r="L1" s="18" t="s">
        <v>31</v>
      </c>
      <c r="N1" s="14" t="s">
        <v>36</v>
      </c>
      <c r="P1" s="23"/>
    </row>
    <row r="2">
      <c r="A2" s="26" t="s">
        <v>40</v>
      </c>
      <c r="B2" s="30" t="s">
        <v>42</v>
      </c>
      <c r="C2" s="33" t="s">
        <v>6</v>
      </c>
      <c r="D2" s="37" t="s">
        <v>43</v>
      </c>
      <c r="E2" s="37" t="s">
        <v>5</v>
      </c>
      <c r="F2" s="33" t="s">
        <v>44</v>
      </c>
      <c r="G2" s="39" t="s">
        <v>45</v>
      </c>
      <c r="H2" s="39" t="s">
        <v>46</v>
      </c>
      <c r="I2" s="43" t="s">
        <v>13</v>
      </c>
      <c r="J2" s="47" t="s">
        <v>28</v>
      </c>
      <c r="K2" s="43" t="s">
        <v>32</v>
      </c>
      <c r="L2" s="50" t="s">
        <v>47</v>
      </c>
      <c r="M2" s="53" t="s">
        <v>50</v>
      </c>
      <c r="N2" s="39" t="s">
        <v>33</v>
      </c>
      <c r="O2" s="53" t="s">
        <v>34</v>
      </c>
      <c r="P2" s="56" t="s">
        <v>51</v>
      </c>
    </row>
    <row r="3">
      <c r="A3" s="59"/>
      <c r="B3" s="63"/>
      <c r="C3" s="66"/>
      <c r="D3" s="66"/>
      <c r="E3" s="69"/>
      <c r="F3" s="41">
        <f t="shared" ref="F3:I3" si="1">SUM(F4:F52)</f>
        <v>1707293943</v>
      </c>
      <c r="G3" s="41">
        <f t="shared" si="1"/>
        <v>42071560</v>
      </c>
      <c r="H3" s="41">
        <f t="shared" si="1"/>
        <v>1665222383</v>
      </c>
      <c r="I3" s="72">
        <f t="shared" si="1"/>
        <v>1541872577</v>
      </c>
      <c r="J3" s="73"/>
      <c r="K3" s="72">
        <f t="shared" ref="K3:O3" si="2">SUM(K4:K52)</f>
        <v>123349806.1</v>
      </c>
      <c r="L3" s="75">
        <f t="shared" si="2"/>
        <v>1212725415</v>
      </c>
      <c r="M3" s="76">
        <f t="shared" si="2"/>
        <v>452496968</v>
      </c>
      <c r="N3" s="41">
        <f t="shared" si="2"/>
        <v>1128755215</v>
      </c>
      <c r="O3" s="76">
        <f t="shared" si="2"/>
        <v>536467168</v>
      </c>
      <c r="P3" s="78"/>
    </row>
    <row r="4">
      <c r="A4" s="79"/>
      <c r="B4" s="80" t="s">
        <v>49</v>
      </c>
      <c r="C4" s="57" t="s">
        <v>61</v>
      </c>
      <c r="D4" s="57" t="s">
        <v>63</v>
      </c>
      <c r="E4" s="61" t="str">
        <f>IF(D4="","",VLOOKUP($D4,'3.Khách hàng'!$A:$I,2,0))</f>
        <v>LỮ KIỀU ANH</v>
      </c>
      <c r="F4" s="81">
        <f>IF(C4="","",VLOOKUP($C4,'1.Sản phẩm'!$D:$G,2,0))</f>
        <v>64784880</v>
      </c>
      <c r="G4" s="82">
        <v>1.779888E7</v>
      </c>
      <c r="H4" s="82">
        <f t="shared" ref="H4:H52" si="3">F4-G4</f>
        <v>46986000</v>
      </c>
      <c r="I4" s="83">
        <f t="shared" ref="I4:I52" si="4">H4/(1+J4)</f>
        <v>43505555.56</v>
      </c>
      <c r="J4" s="84">
        <v>0.08</v>
      </c>
      <c r="K4" s="83">
        <f t="shared" ref="K4:K52" si="5">J4*I4</f>
        <v>3480444.444</v>
      </c>
      <c r="L4" s="85">
        <f>SUMIF('5.Thu tiền'!$B:$B,$B4,'5.Thu tiền'!$H:$H)</f>
        <v>46986000</v>
      </c>
      <c r="M4" s="86">
        <f t="shared" ref="M4:M52" si="6">H4-L4</f>
        <v>0.000000007450580597</v>
      </c>
      <c r="N4" s="81">
        <f>SUMIF('6.Hóa đơn'!$C:$C,$B4,'6.Hóa đơn'!$G:$G)</f>
        <v>46986000</v>
      </c>
      <c r="O4" s="86">
        <f t="shared" ref="O4:O52" si="7">H4-N4</f>
        <v>0.000000007450580597</v>
      </c>
      <c r="P4" s="87"/>
    </row>
    <row r="5">
      <c r="A5" s="79"/>
      <c r="B5" s="80" t="s">
        <v>54</v>
      </c>
      <c r="C5" s="57" t="s">
        <v>61</v>
      </c>
      <c r="D5" s="57" t="s">
        <v>74</v>
      </c>
      <c r="E5" s="61" t="str">
        <f>IF(D5="","",VLOOKUP($D5,'3.Khách hàng'!$A:$I,2,0))</f>
        <v>LÊ THỊ BÍCH NGA</v>
      </c>
      <c r="F5" s="81">
        <f>IF(C5="","",VLOOKUP($C5,'1.Sản phẩm'!$D:$G,2,0))</f>
        <v>64784880</v>
      </c>
      <c r="G5" s="82">
        <v>1.779888E7</v>
      </c>
      <c r="H5" s="82">
        <f t="shared" si="3"/>
        <v>46986000</v>
      </c>
      <c r="I5" s="83">
        <f t="shared" si="4"/>
        <v>43505555.56</v>
      </c>
      <c r="J5" s="84">
        <v>0.08</v>
      </c>
      <c r="K5" s="83">
        <f t="shared" si="5"/>
        <v>3480444.444</v>
      </c>
      <c r="L5" s="85">
        <f>SUMIF('5.Thu tiền'!$B:$B,$B5,'5.Thu tiền'!$H:$H)</f>
        <v>46986000</v>
      </c>
      <c r="M5" s="86">
        <f t="shared" si="6"/>
        <v>0.000000007450580597</v>
      </c>
      <c r="N5" s="81">
        <f>SUMIF('6.Hóa đơn'!$C:$C,$B5,'6.Hóa đơn'!$G:$G)</f>
        <v>46986000</v>
      </c>
      <c r="O5" s="86">
        <f t="shared" si="7"/>
        <v>0.000000007450580597</v>
      </c>
      <c r="P5" s="87"/>
    </row>
    <row r="6">
      <c r="A6" s="79"/>
      <c r="B6" s="80" t="s">
        <v>55</v>
      </c>
      <c r="C6" s="57" t="s">
        <v>77</v>
      </c>
      <c r="D6" s="57" t="s">
        <v>78</v>
      </c>
      <c r="E6" s="61" t="str">
        <f>IF(D6="","",VLOOKUP($D6,'3.Khách hàng'!$A:$I,2,0))</f>
        <v>NGUYỄN THỊ YẾN</v>
      </c>
      <c r="F6" s="82">
        <v>8.1363391E7</v>
      </c>
      <c r="G6" s="81"/>
      <c r="H6" s="82">
        <f t="shared" si="3"/>
        <v>81363391</v>
      </c>
      <c r="I6" s="83">
        <f t="shared" si="4"/>
        <v>75336473.15</v>
      </c>
      <c r="J6" s="84">
        <v>0.08</v>
      </c>
      <c r="K6" s="83">
        <f t="shared" si="5"/>
        <v>6026917.852</v>
      </c>
      <c r="L6" s="85">
        <f>SUMIF('5.Thu tiền'!$B:$B,$B6,'5.Thu tiền'!$H:$H)</f>
        <v>81363391</v>
      </c>
      <c r="M6" s="86">
        <f t="shared" si="6"/>
        <v>0</v>
      </c>
      <c r="N6" s="81">
        <f>SUMIF('6.Hóa đơn'!$C:$C,$B6,'6.Hóa đơn'!$G:$G)</f>
        <v>81363391</v>
      </c>
      <c r="O6" s="86">
        <f t="shared" si="7"/>
        <v>0</v>
      </c>
      <c r="P6" s="87" t="s">
        <v>15</v>
      </c>
    </row>
    <row r="7">
      <c r="A7" s="79"/>
      <c r="B7" s="80" t="s">
        <v>57</v>
      </c>
      <c r="C7" s="57" t="s">
        <v>77</v>
      </c>
      <c r="D7" s="57" t="s">
        <v>81</v>
      </c>
      <c r="E7" s="61" t="str">
        <f>IF(D7="","",VLOOKUP($D7,'3.Khách hàng'!$A:$I,2,0))</f>
        <v>CÔNG TY TNHH TINH KHÍ VIỆT</v>
      </c>
      <c r="F7" s="82">
        <v>8.1363391E7</v>
      </c>
      <c r="G7" s="81"/>
      <c r="H7" s="82">
        <f t="shared" si="3"/>
        <v>81363391</v>
      </c>
      <c r="I7" s="83">
        <f t="shared" si="4"/>
        <v>75336473.15</v>
      </c>
      <c r="J7" s="84">
        <v>0.08</v>
      </c>
      <c r="K7" s="83">
        <f t="shared" si="5"/>
        <v>6026917.852</v>
      </c>
      <c r="L7" s="85">
        <f>SUMIF('5.Thu tiền'!$B:$B,$B7,'5.Thu tiền'!$H:$H)</f>
        <v>81363391</v>
      </c>
      <c r="M7" s="86">
        <f t="shared" si="6"/>
        <v>0</v>
      </c>
      <c r="N7" s="81">
        <f>SUMIF('6.Hóa đơn'!$C:$C,$B7,'6.Hóa đơn'!$G:$G)</f>
        <v>81363391</v>
      </c>
      <c r="O7" s="86">
        <f t="shared" si="7"/>
        <v>0</v>
      </c>
      <c r="P7" s="87" t="s">
        <v>15</v>
      </c>
    </row>
    <row r="8">
      <c r="A8" s="79"/>
      <c r="B8" s="80" t="s">
        <v>58</v>
      </c>
      <c r="C8" s="57" t="s">
        <v>82</v>
      </c>
      <c r="D8" s="57" t="s">
        <v>83</v>
      </c>
      <c r="E8" s="61" t="str">
        <f>IF(D8="","",VLOOKUP($D8,'3.Khách hàng'!$A:$I,2,0))</f>
        <v>CÔNG TY TNHH PAPASAN VIỆT NAM</v>
      </c>
      <c r="F8" s="82">
        <v>1774801.0</v>
      </c>
      <c r="G8" s="82"/>
      <c r="H8" s="82">
        <f t="shared" si="3"/>
        <v>1774801</v>
      </c>
      <c r="I8" s="83">
        <f t="shared" si="4"/>
        <v>1643334.259</v>
      </c>
      <c r="J8" s="84">
        <v>0.08</v>
      </c>
      <c r="K8" s="83">
        <f t="shared" si="5"/>
        <v>131466.7407</v>
      </c>
      <c r="L8" s="85">
        <f>SUMIF('5.Thu tiền'!$B:$B,$B8,'5.Thu tiền'!$H:$H)</f>
        <v>1774801</v>
      </c>
      <c r="M8" s="86">
        <f t="shared" si="6"/>
        <v>0</v>
      </c>
      <c r="N8" s="81">
        <f>SUMIF('6.Hóa đơn'!$C:$C,$B8,'6.Hóa đơn'!$G:$G)</f>
        <v>1774801</v>
      </c>
      <c r="O8" s="86">
        <f t="shared" si="7"/>
        <v>0</v>
      </c>
      <c r="P8" s="87" t="s">
        <v>18</v>
      </c>
    </row>
    <row r="9">
      <c r="A9" s="79"/>
      <c r="B9" s="80" t="s">
        <v>60</v>
      </c>
      <c r="C9" s="57" t="s">
        <v>82</v>
      </c>
      <c r="D9" s="57" t="s">
        <v>88</v>
      </c>
      <c r="E9" s="61" t="str">
        <f>IF(D9="","",VLOOKUP($D9,'3.Khách hàng'!$A:$I,2,0))</f>
        <v>Khách lẻ (Nguyễn Thị Thắm, Nguyễn Thu Huyền)</v>
      </c>
      <c r="F9" s="82">
        <v>1972000.0</v>
      </c>
      <c r="G9" s="81"/>
      <c r="H9" s="82">
        <f t="shared" si="3"/>
        <v>1972000</v>
      </c>
      <c r="I9" s="83">
        <f t="shared" si="4"/>
        <v>1825925.926</v>
      </c>
      <c r="J9" s="84">
        <v>0.08</v>
      </c>
      <c r="K9" s="83">
        <f t="shared" si="5"/>
        <v>146074.0741</v>
      </c>
      <c r="L9" s="85">
        <f>SUMIF('5.Thu tiền'!$B:$B,$B9,'5.Thu tiền'!$H:$H)</f>
        <v>1972000</v>
      </c>
      <c r="M9" s="86">
        <f t="shared" si="6"/>
        <v>0</v>
      </c>
      <c r="N9" s="81">
        <f>SUMIF('6.Hóa đơn'!$C:$C,$B9,'6.Hóa đơn'!$G:$G)</f>
        <v>1972000</v>
      </c>
      <c r="O9" s="86">
        <f t="shared" si="7"/>
        <v>0</v>
      </c>
      <c r="P9" s="87"/>
    </row>
    <row r="10">
      <c r="A10" s="79"/>
      <c r="B10" s="80" t="s">
        <v>62</v>
      </c>
      <c r="C10" s="57" t="s">
        <v>82</v>
      </c>
      <c r="D10" s="57" t="s">
        <v>93</v>
      </c>
      <c r="E10" s="61" t="str">
        <f>IF(D10="","",VLOOKUP($D10,'3.Khách hàng'!$A:$I,2,0))</f>
        <v>LÊ NGỌC LINH</v>
      </c>
      <c r="F10" s="82">
        <v>1972000.0</v>
      </c>
      <c r="G10" s="81"/>
      <c r="H10" s="82">
        <f t="shared" si="3"/>
        <v>1972000</v>
      </c>
      <c r="I10" s="83">
        <f t="shared" si="4"/>
        <v>1825925.926</v>
      </c>
      <c r="J10" s="84">
        <v>0.08</v>
      </c>
      <c r="K10" s="83">
        <f t="shared" si="5"/>
        <v>146074.0741</v>
      </c>
      <c r="L10" s="85">
        <f>SUMIF('5.Thu tiền'!$B:$B,$B10,'5.Thu tiền'!$H:$H)</f>
        <v>1972000</v>
      </c>
      <c r="M10" s="86">
        <f t="shared" si="6"/>
        <v>0</v>
      </c>
      <c r="N10" s="81">
        <f>SUMIF('6.Hóa đơn'!$C:$C,$B10,'6.Hóa đơn'!$G:$G)</f>
        <v>1972000</v>
      </c>
      <c r="O10" s="86">
        <f t="shared" si="7"/>
        <v>0</v>
      </c>
      <c r="P10" s="87"/>
    </row>
    <row r="11">
      <c r="A11" s="79"/>
      <c r="B11" s="80" t="s">
        <v>41</v>
      </c>
      <c r="C11" s="57" t="s">
        <v>77</v>
      </c>
      <c r="D11" s="57" t="s">
        <v>97</v>
      </c>
      <c r="E11" s="61" t="str">
        <f>IF(D11="","",VLOOKUP($D11,'3.Khách hàng'!$A:$I,2,0))</f>
        <v>PHẠM TRẦN HẢI</v>
      </c>
      <c r="F11" s="81">
        <f>IF(C11="","",VLOOKUP($C11,'1.Sản phẩm'!$D:$G,2,0))</f>
        <v>93733000</v>
      </c>
      <c r="G11" s="81"/>
      <c r="H11" s="82">
        <f t="shared" si="3"/>
        <v>93733000</v>
      </c>
      <c r="I11" s="83">
        <f t="shared" si="4"/>
        <v>86789814.81</v>
      </c>
      <c r="J11" s="84">
        <v>0.08</v>
      </c>
      <c r="K11" s="83">
        <f t="shared" si="5"/>
        <v>6943185.185</v>
      </c>
      <c r="L11" s="85">
        <f>SUMIF('5.Thu tiền'!$B:$B,$B11,'5.Thu tiền'!$H:$H)</f>
        <v>93733000</v>
      </c>
      <c r="M11" s="86">
        <f t="shared" si="6"/>
        <v>0</v>
      </c>
      <c r="N11" s="81">
        <f>SUMIF('6.Hóa đơn'!$C:$C,$B11,'6.Hóa đơn'!$G:$G)</f>
        <v>93733000</v>
      </c>
      <c r="O11" s="86">
        <f t="shared" si="7"/>
        <v>0</v>
      </c>
      <c r="P11" s="87" t="s">
        <v>21</v>
      </c>
    </row>
    <row r="12">
      <c r="A12" s="79"/>
      <c r="B12" s="80" t="s">
        <v>48</v>
      </c>
      <c r="C12" s="57" t="s">
        <v>77</v>
      </c>
      <c r="D12" s="57" t="s">
        <v>101</v>
      </c>
      <c r="E12" s="61" t="str">
        <f>IF(D12="","",VLOOKUP($D12,'3.Khách hàng'!$A:$I,2,0))</f>
        <v>NGUYỄN THỊ HIÊN</v>
      </c>
      <c r="F12" s="81">
        <f>IF(C12="","",VLOOKUP($C12,'1.Sản phẩm'!$D:$G,2,0))</f>
        <v>93733000</v>
      </c>
      <c r="G12" s="81"/>
      <c r="H12" s="82">
        <f t="shared" si="3"/>
        <v>93733000</v>
      </c>
      <c r="I12" s="83">
        <f t="shared" si="4"/>
        <v>86789814.81</v>
      </c>
      <c r="J12" s="84">
        <v>0.08</v>
      </c>
      <c r="K12" s="83">
        <f t="shared" si="5"/>
        <v>6943185.185</v>
      </c>
      <c r="L12" s="85">
        <f>SUMIF('5.Thu tiền'!$B:$B,$B12,'5.Thu tiền'!$H:$H)</f>
        <v>93733000</v>
      </c>
      <c r="M12" s="86">
        <f t="shared" si="6"/>
        <v>0</v>
      </c>
      <c r="N12" s="81">
        <f>SUMIF('6.Hóa đơn'!$C:$C,$B12,'6.Hóa đơn'!$G:$G)</f>
        <v>93733000</v>
      </c>
      <c r="O12" s="86">
        <f t="shared" si="7"/>
        <v>0</v>
      </c>
      <c r="P12" s="87" t="s">
        <v>21</v>
      </c>
    </row>
    <row r="13">
      <c r="A13" s="79"/>
      <c r="B13" s="80" t="s">
        <v>52</v>
      </c>
      <c r="C13" s="57" t="s">
        <v>77</v>
      </c>
      <c r="D13" s="107" t="s">
        <v>106</v>
      </c>
      <c r="E13" s="61" t="str">
        <f>IF(D13="","",VLOOKUP($D13,'3.Khách hàng'!$A:$I,2,0))</f>
        <v>HỘ KINH DOANH NGUYỄN THANH HÙNG</v>
      </c>
      <c r="F13" s="81">
        <f>IF(C13="","",VLOOKUP($C13,'1.Sản phẩm'!$D:$G,2,0))</f>
        <v>93733000</v>
      </c>
      <c r="G13" s="81"/>
      <c r="H13" s="82">
        <f t="shared" si="3"/>
        <v>93733000</v>
      </c>
      <c r="I13" s="83">
        <f t="shared" si="4"/>
        <v>86789814.81</v>
      </c>
      <c r="J13" s="84">
        <v>0.08</v>
      </c>
      <c r="K13" s="83">
        <f t="shared" si="5"/>
        <v>6943185.185</v>
      </c>
      <c r="L13" s="85">
        <f>SUMIF('5.Thu tiền'!$B:$B,$B13,'5.Thu tiền'!$H:$H)</f>
        <v>93733000</v>
      </c>
      <c r="M13" s="86">
        <f t="shared" si="6"/>
        <v>0</v>
      </c>
      <c r="N13" s="81">
        <f>SUMIF('6.Hóa đơn'!$C:$C,$B13,'6.Hóa đơn'!$G:$G)</f>
        <v>93733200</v>
      </c>
      <c r="O13" s="86">
        <f t="shared" si="7"/>
        <v>-200</v>
      </c>
      <c r="P13" s="87" t="s">
        <v>21</v>
      </c>
    </row>
    <row r="14">
      <c r="A14" s="79"/>
      <c r="B14" s="80" t="s">
        <v>112</v>
      </c>
      <c r="C14" s="57" t="s">
        <v>77</v>
      </c>
      <c r="D14" s="57" t="s">
        <v>113</v>
      </c>
      <c r="E14" s="61" t="str">
        <f>IF(D14="","",VLOOKUP($D14,'3.Khách hàng'!$A:$I,2,0))</f>
        <v>NGUYỄN THỊ NGỌC HÀ</v>
      </c>
      <c r="F14" s="81">
        <f>IF(C14="","",VLOOKUP($C14,'1.Sản phẩm'!$D:$G,2,0))</f>
        <v>93733000</v>
      </c>
      <c r="G14" s="81"/>
      <c r="H14" s="82">
        <f t="shared" si="3"/>
        <v>93733000</v>
      </c>
      <c r="I14" s="83">
        <f t="shared" si="4"/>
        <v>86789814.81</v>
      </c>
      <c r="J14" s="84">
        <v>0.08</v>
      </c>
      <c r="K14" s="83">
        <f t="shared" si="5"/>
        <v>6943185.185</v>
      </c>
      <c r="L14" s="85">
        <f>SUMIF('5.Thu tiền'!$B:$B,$B14,'5.Thu tiền'!$H:$H)</f>
        <v>10000000</v>
      </c>
      <c r="M14" s="86">
        <f t="shared" si="6"/>
        <v>83733000</v>
      </c>
      <c r="N14" s="81">
        <f>SUMIF('6.Hóa đơn'!$C:$C,$B14,'6.Hóa đơn'!$G:$G)</f>
        <v>0</v>
      </c>
      <c r="O14" s="86">
        <f t="shared" si="7"/>
        <v>93733000</v>
      </c>
      <c r="P14" s="87"/>
    </row>
    <row r="15">
      <c r="A15" s="79"/>
      <c r="B15" s="80" t="s">
        <v>102</v>
      </c>
      <c r="C15" s="57" t="s">
        <v>117</v>
      </c>
      <c r="D15" s="57" t="s">
        <v>118</v>
      </c>
      <c r="E15" s="61" t="str">
        <f>IF(D15="","",VLOOKUP($D15,'3.Khách hàng'!$A:$I,2,0))</f>
        <v>VÕ TẤN LỢI</v>
      </c>
      <c r="F15" s="81">
        <f>IF(C15="","",VLOOKUP($C15,'1.Sản phẩm'!$D:$G,2,0))</f>
        <v>49664880</v>
      </c>
      <c r="G15" s="81"/>
      <c r="H15" s="82">
        <f t="shared" si="3"/>
        <v>49664880</v>
      </c>
      <c r="I15" s="83">
        <f t="shared" si="4"/>
        <v>45986000</v>
      </c>
      <c r="J15" s="84">
        <v>0.08</v>
      </c>
      <c r="K15" s="83">
        <f t="shared" si="5"/>
        <v>3678880</v>
      </c>
      <c r="L15" s="85">
        <f>SUMIF('5.Thu tiền'!$B:$B,$B15,'5.Thu tiền'!$H:$H)</f>
        <v>37894392</v>
      </c>
      <c r="M15" s="86">
        <f t="shared" si="6"/>
        <v>11770488</v>
      </c>
      <c r="N15" s="81">
        <f>SUMIF('6.Hóa đơn'!$C:$C,$B15,'6.Hóa đơn'!$G:$G)</f>
        <v>37894392</v>
      </c>
      <c r="O15" s="86">
        <f t="shared" si="7"/>
        <v>11770488</v>
      </c>
      <c r="P15" s="87"/>
    </row>
    <row r="16">
      <c r="A16" s="79"/>
      <c r="B16" s="80" t="s">
        <v>79</v>
      </c>
      <c r="C16" s="57" t="s">
        <v>117</v>
      </c>
      <c r="D16" s="57" t="s">
        <v>122</v>
      </c>
      <c r="E16" s="61" t="str">
        <f>IF(D16="","",VLOOKUP($D16,'3.Khách hàng'!$A:$I,2,0))</f>
        <v>NGUYỄN NGỌC HÀ</v>
      </c>
      <c r="F16" s="81">
        <f>IF(C16="","",VLOOKUP($C16,'1.Sản phẩm'!$D:$G,2,0))</f>
        <v>49664880</v>
      </c>
      <c r="G16" s="81"/>
      <c r="H16" s="82">
        <f t="shared" si="3"/>
        <v>49664880</v>
      </c>
      <c r="I16" s="83">
        <f t="shared" si="4"/>
        <v>45986000</v>
      </c>
      <c r="J16" s="84">
        <v>0.08</v>
      </c>
      <c r="K16" s="83">
        <f t="shared" si="5"/>
        <v>3678880</v>
      </c>
      <c r="L16" s="85">
        <f>SUMIF('5.Thu tiền'!$B:$B,$B16,'5.Thu tiền'!$H:$H)</f>
        <v>19972440</v>
      </c>
      <c r="M16" s="86">
        <f t="shared" si="6"/>
        <v>29692440</v>
      </c>
      <c r="N16" s="81">
        <f>SUMIF('6.Hóa đơn'!$C:$C,$B16,'6.Hóa đơn'!$G:$G)</f>
        <v>19972440</v>
      </c>
      <c r="O16" s="86">
        <f t="shared" si="7"/>
        <v>29692440</v>
      </c>
      <c r="P16" s="87"/>
    </row>
    <row r="17">
      <c r="A17" s="79"/>
      <c r="B17" s="80" t="s">
        <v>87</v>
      </c>
      <c r="C17" s="57" t="s">
        <v>61</v>
      </c>
      <c r="D17" s="57" t="s">
        <v>101</v>
      </c>
      <c r="E17" s="61" t="str">
        <f>IF(D17="","",VLOOKUP($D17,'3.Khách hàng'!$A:$I,2,0))</f>
        <v>NGUYỄN THỊ HIÊN</v>
      </c>
      <c r="F17" s="98">
        <v>4.6986E7</v>
      </c>
      <c r="G17" s="81"/>
      <c r="H17" s="82">
        <f t="shared" si="3"/>
        <v>46986000</v>
      </c>
      <c r="I17" s="83">
        <f t="shared" si="4"/>
        <v>43505555.56</v>
      </c>
      <c r="J17" s="84">
        <v>0.08</v>
      </c>
      <c r="K17" s="83">
        <f t="shared" si="5"/>
        <v>3480444.444</v>
      </c>
      <c r="L17" s="85">
        <f>SUMIF('5.Thu tiền'!$B:$B,$B17,'5.Thu tiền'!$H:$H)</f>
        <v>51986000</v>
      </c>
      <c r="M17" s="86">
        <f t="shared" si="6"/>
        <v>-5000000</v>
      </c>
      <c r="N17" s="81">
        <f>SUMIF('6.Hóa đơn'!$C:$C,$B17,'6.Hóa đơn'!$G:$G)</f>
        <v>46986000</v>
      </c>
      <c r="O17" s="86">
        <f t="shared" si="7"/>
        <v>0</v>
      </c>
      <c r="P17" s="87"/>
    </row>
    <row r="18">
      <c r="A18" s="79"/>
      <c r="B18" s="80" t="s">
        <v>98</v>
      </c>
      <c r="C18" s="57" t="s">
        <v>126</v>
      </c>
      <c r="D18" s="107" t="s">
        <v>106</v>
      </c>
      <c r="E18" s="61" t="str">
        <f>IF(D18="","",VLOOKUP($D18,'3.Khách hàng'!$A:$I,2,0))</f>
        <v>HỘ KINH DOANH NGUYỄN THANH HÙNG</v>
      </c>
      <c r="F18" s="82">
        <v>1.3931E8</v>
      </c>
      <c r="G18" s="81"/>
      <c r="H18" s="82">
        <f t="shared" si="3"/>
        <v>139310000</v>
      </c>
      <c r="I18" s="83">
        <f t="shared" si="4"/>
        <v>128990740.7</v>
      </c>
      <c r="J18" s="84">
        <v>0.08</v>
      </c>
      <c r="K18" s="83">
        <f t="shared" si="5"/>
        <v>10319259.26</v>
      </c>
      <c r="L18" s="85">
        <f>SUMIF('5.Thu tiền'!$B:$B,$B18,'5.Thu tiền'!$H:$H)</f>
        <v>139310000</v>
      </c>
      <c r="M18" s="86">
        <f t="shared" si="6"/>
        <v>0</v>
      </c>
      <c r="N18" s="81">
        <f>SUMIF('6.Hóa đơn'!$C:$C,$B18,'6.Hóa đơn'!$G:$G)</f>
        <v>139310000</v>
      </c>
      <c r="O18" s="86">
        <f t="shared" si="7"/>
        <v>0</v>
      </c>
      <c r="P18" s="87"/>
    </row>
    <row r="19">
      <c r="A19" s="79"/>
      <c r="B19" s="80" t="s">
        <v>125</v>
      </c>
      <c r="C19" s="57" t="s">
        <v>117</v>
      </c>
      <c r="D19" s="57" t="s">
        <v>101</v>
      </c>
      <c r="E19" s="61" t="str">
        <f>IF(D19="","",VLOOKUP($D19,'3.Khách hàng'!$A:$I,2,0))</f>
        <v>NGUYỄN THỊ HIÊN</v>
      </c>
      <c r="F19" s="58">
        <v>3.5087E7</v>
      </c>
      <c r="G19" s="81"/>
      <c r="H19" s="82">
        <f t="shared" si="3"/>
        <v>35087000</v>
      </c>
      <c r="I19" s="83">
        <f t="shared" si="4"/>
        <v>32487962.96</v>
      </c>
      <c r="J19" s="84">
        <v>0.08</v>
      </c>
      <c r="K19" s="83">
        <f t="shared" si="5"/>
        <v>2599037.037</v>
      </c>
      <c r="L19" s="85">
        <f>SUMIF('5.Thu tiền'!$B:$B,$B19,'5.Thu tiền'!$H:$H)</f>
        <v>35087000</v>
      </c>
      <c r="M19" s="86">
        <f t="shared" si="6"/>
        <v>0</v>
      </c>
      <c r="N19" s="81">
        <f>SUMIF('6.Hóa đơn'!$C:$C,$B19,'6.Hóa đơn'!$G:$G)</f>
        <v>0</v>
      </c>
      <c r="O19" s="86">
        <f t="shared" si="7"/>
        <v>35087000</v>
      </c>
      <c r="P19" s="87"/>
    </row>
    <row r="20">
      <c r="A20" s="79"/>
      <c r="B20" s="80" t="s">
        <v>64</v>
      </c>
      <c r="C20" s="57" t="s">
        <v>126</v>
      </c>
      <c r="D20" s="57" t="s">
        <v>97</v>
      </c>
      <c r="E20" s="61" t="str">
        <f>IF(D20="","",VLOOKUP($D20,'3.Khách hàng'!$A:$I,2,0))</f>
        <v>PHẠM TRẦN HẢI</v>
      </c>
      <c r="F20" s="82">
        <v>1.20986E8</v>
      </c>
      <c r="G20" s="81"/>
      <c r="H20" s="82">
        <f t="shared" si="3"/>
        <v>120986000</v>
      </c>
      <c r="I20" s="83">
        <f t="shared" si="4"/>
        <v>112024074.1</v>
      </c>
      <c r="J20" s="84">
        <v>0.08</v>
      </c>
      <c r="K20" s="83">
        <f t="shared" si="5"/>
        <v>8961925.926</v>
      </c>
      <c r="L20" s="85">
        <f>SUMIF('5.Thu tiền'!$B:$B,$B20,'5.Thu tiền'!$H:$H)</f>
        <v>120986000</v>
      </c>
      <c r="M20" s="86">
        <f t="shared" si="6"/>
        <v>0</v>
      </c>
      <c r="N20" s="81">
        <f>SUMIF('6.Hóa đơn'!$C:$C,$B20,'6.Hóa đơn'!$G:$G)</f>
        <v>120986000</v>
      </c>
      <c r="O20" s="86">
        <f t="shared" si="7"/>
        <v>0</v>
      </c>
      <c r="P20" s="87" t="s">
        <v>21</v>
      </c>
    </row>
    <row r="21">
      <c r="A21" s="79"/>
      <c r="B21" s="80" t="s">
        <v>92</v>
      </c>
      <c r="C21" s="57" t="s">
        <v>61</v>
      </c>
      <c r="D21" s="57" t="s">
        <v>127</v>
      </c>
      <c r="E21" s="61" t="str">
        <f>IF(D21="","",VLOOKUP($D21,'3.Khách hàng'!$A:$I,2,0))</f>
        <v>CÔNG TY CỔ PHẦN DỊCH VỤ TÀI CHÍNH MINH TRÍ</v>
      </c>
      <c r="F21" s="81">
        <f>IF(C21="","",VLOOKUP($C21,'1.Sản phẩm'!$D:$G,2,0))</f>
        <v>64784880</v>
      </c>
      <c r="G21" s="81"/>
      <c r="H21" s="82">
        <f t="shared" si="3"/>
        <v>64784880</v>
      </c>
      <c r="I21" s="83">
        <f t="shared" si="4"/>
        <v>59986000</v>
      </c>
      <c r="J21" s="84">
        <v>0.08</v>
      </c>
      <c r="K21" s="83">
        <f t="shared" si="5"/>
        <v>4798880</v>
      </c>
      <c r="L21" s="85">
        <f>SUMIF('5.Thu tiền'!$B:$B,$B21,'5.Thu tiền'!$H:$H)</f>
        <v>50744800</v>
      </c>
      <c r="M21" s="86">
        <f t="shared" si="6"/>
        <v>14040080</v>
      </c>
      <c r="N21" s="81">
        <f>SUMIF('6.Hóa đơn'!$C:$C,$B21,'6.Hóa đơn'!$G:$G)</f>
        <v>50744800</v>
      </c>
      <c r="O21" s="86">
        <f t="shared" si="7"/>
        <v>14040080</v>
      </c>
      <c r="P21" s="87"/>
    </row>
    <row r="22">
      <c r="A22" s="79"/>
      <c r="B22" s="80" t="s">
        <v>75</v>
      </c>
      <c r="C22" s="57" t="s">
        <v>117</v>
      </c>
      <c r="D22" s="57" t="s">
        <v>127</v>
      </c>
      <c r="E22" s="61" t="str">
        <f>IF(D22="","",VLOOKUP($D22,'3.Khách hàng'!$A:$I,2,0))</f>
        <v>CÔNG TY CỔ PHẦN DỊCH VỤ TÀI CHÍNH MINH TRÍ</v>
      </c>
      <c r="F22" s="81">
        <f>IF(C22="","",VLOOKUP($C22,'1.Sản phẩm'!$D:$G,2,0))</f>
        <v>49664880</v>
      </c>
      <c r="G22" s="81"/>
      <c r="H22" s="82">
        <f t="shared" si="3"/>
        <v>49664880</v>
      </c>
      <c r="I22" s="83">
        <f t="shared" si="4"/>
        <v>45986000</v>
      </c>
      <c r="J22" s="84">
        <v>0.08</v>
      </c>
      <c r="K22" s="83">
        <f t="shared" si="5"/>
        <v>3678880</v>
      </c>
      <c r="L22" s="85">
        <f>SUMIF('5.Thu tiền'!$B:$B,$B22,'5.Thu tiền'!$H:$H)</f>
        <v>36986000</v>
      </c>
      <c r="M22" s="86">
        <f t="shared" si="6"/>
        <v>12678880</v>
      </c>
      <c r="N22" s="81">
        <f>SUMIF('6.Hóa đơn'!$C:$C,$B22,'6.Hóa đơn'!$G:$G)</f>
        <v>36986000</v>
      </c>
      <c r="O22" s="86">
        <f t="shared" si="7"/>
        <v>12678880</v>
      </c>
      <c r="P22" s="87"/>
    </row>
    <row r="23">
      <c r="A23" s="79"/>
      <c r="B23" s="80" t="s">
        <v>70</v>
      </c>
      <c r="C23" s="57" t="s">
        <v>61</v>
      </c>
      <c r="D23" s="57" t="s">
        <v>128</v>
      </c>
      <c r="E23" s="61" t="str">
        <f>IF(D23="","",VLOOKUP($D23,'3.Khách hàng'!$A:$I,2,0))</f>
        <v>CÔNG TY TNHH JEJU SKIN VIỆT NAM</v>
      </c>
      <c r="F23" s="81">
        <f>IF(C23="","",VLOOKUP($C23,'1.Sản phẩm'!$D:$G,2,0))</f>
        <v>64784880</v>
      </c>
      <c r="G23" s="81"/>
      <c r="H23" s="82">
        <f t="shared" si="3"/>
        <v>64784880</v>
      </c>
      <c r="I23" s="83">
        <f t="shared" si="4"/>
        <v>59986000</v>
      </c>
      <c r="J23" s="84">
        <v>0.08</v>
      </c>
      <c r="K23" s="83">
        <f t="shared" si="5"/>
        <v>4798880</v>
      </c>
      <c r="L23" s="85">
        <f>SUMIF('5.Thu tiền'!$B:$B,$B23,'5.Thu tiền'!$H:$H)</f>
        <v>25000000</v>
      </c>
      <c r="M23" s="86">
        <f t="shared" si="6"/>
        <v>39784880</v>
      </c>
      <c r="N23" s="81">
        <f>SUMIF('6.Hóa đơn'!$C:$C,$B23,'6.Hóa đơn'!$G:$G)</f>
        <v>25000000</v>
      </c>
      <c r="O23" s="86">
        <f t="shared" si="7"/>
        <v>39784880</v>
      </c>
      <c r="P23" s="87"/>
    </row>
    <row r="24">
      <c r="A24" s="79"/>
      <c r="B24" s="80" t="s">
        <v>72</v>
      </c>
      <c r="C24" s="57" t="s">
        <v>117</v>
      </c>
      <c r="D24" s="57" t="s">
        <v>128</v>
      </c>
      <c r="E24" s="61" t="str">
        <f>IF(D24="","",VLOOKUP($D24,'3.Khách hàng'!$A:$I,2,0))</f>
        <v>CÔNG TY TNHH JEJU SKIN VIỆT NAM</v>
      </c>
      <c r="F24" s="81">
        <f>IF(C24="","",VLOOKUP($C24,'1.Sản phẩm'!$D:$G,2,0))</f>
        <v>49664880</v>
      </c>
      <c r="G24" s="81"/>
      <c r="H24" s="82">
        <f t="shared" si="3"/>
        <v>49664880</v>
      </c>
      <c r="I24" s="83">
        <f t="shared" si="4"/>
        <v>45986000</v>
      </c>
      <c r="J24" s="84">
        <v>0.08</v>
      </c>
      <c r="K24" s="83">
        <f t="shared" si="5"/>
        <v>3678880</v>
      </c>
      <c r="L24" s="85">
        <f>SUMIF('5.Thu tiền'!$B:$B,$B24,'5.Thu tiền'!$H:$H)</f>
        <v>33287400</v>
      </c>
      <c r="M24" s="86">
        <f t="shared" si="6"/>
        <v>16377480</v>
      </c>
      <c r="N24" s="81">
        <f>SUMIF('6.Hóa đơn'!$C:$C,$B24,'6.Hóa đơn'!$G:$G)</f>
        <v>33287400</v>
      </c>
      <c r="O24" s="86">
        <f t="shared" si="7"/>
        <v>16377480</v>
      </c>
      <c r="P24" s="87"/>
    </row>
    <row r="25">
      <c r="A25" s="79"/>
      <c r="B25" s="80" t="s">
        <v>129</v>
      </c>
      <c r="C25" s="57"/>
      <c r="D25" s="57"/>
      <c r="E25" s="61" t="str">
        <f>IF(D25="","",VLOOKUP($D25,'3.Khách hàng'!$A:$I,2,0))</f>
        <v/>
      </c>
      <c r="F25" s="82"/>
      <c r="G25" s="81"/>
      <c r="H25" s="82">
        <f t="shared" si="3"/>
        <v>0</v>
      </c>
      <c r="I25" s="83">
        <f t="shared" si="4"/>
        <v>0</v>
      </c>
      <c r="J25" s="84">
        <v>0.08</v>
      </c>
      <c r="K25" s="83">
        <f t="shared" si="5"/>
        <v>0</v>
      </c>
      <c r="L25" s="85">
        <f>SUMIF('5.Thu tiền'!$B:$B,$B25,'5.Thu tiền'!$H:$H)</f>
        <v>0</v>
      </c>
      <c r="M25" s="86">
        <f t="shared" si="6"/>
        <v>0</v>
      </c>
      <c r="N25" s="81">
        <f>SUMIF('6.Hóa đơn'!$C:$C,$B25,'6.Hóa đơn'!$G:$G)</f>
        <v>0</v>
      </c>
      <c r="O25" s="86">
        <f t="shared" si="7"/>
        <v>0</v>
      </c>
      <c r="P25" s="87"/>
    </row>
    <row r="26">
      <c r="A26" s="79"/>
      <c r="B26" s="80" t="s">
        <v>130</v>
      </c>
      <c r="C26" s="57"/>
      <c r="D26" s="57"/>
      <c r="E26" s="61" t="str">
        <f>IF(D26="","",VLOOKUP($D26,'3.Khách hàng'!$A:$I,2,0))</f>
        <v/>
      </c>
      <c r="F26" s="121" t="str">
        <f>IF(C26="","",VLOOKUP($C26,'1.Sản phẩm'!$D:$G,2,0))</f>
        <v/>
      </c>
      <c r="G26" s="81"/>
      <c r="H26" s="82">
        <f t="shared" si="3"/>
        <v>0</v>
      </c>
      <c r="I26" s="83">
        <f t="shared" si="4"/>
        <v>0</v>
      </c>
      <c r="J26" s="84">
        <v>0.08</v>
      </c>
      <c r="K26" s="83">
        <f t="shared" si="5"/>
        <v>0</v>
      </c>
      <c r="L26" s="85">
        <f>SUMIF('5.Thu tiền'!$B:$B,$B26,'5.Thu tiền'!$H:$H)</f>
        <v>0</v>
      </c>
      <c r="M26" s="86">
        <f t="shared" si="6"/>
        <v>0</v>
      </c>
      <c r="N26" s="81">
        <f>SUMIF('6.Hóa đơn'!$C:$C,$B26,'6.Hóa đơn'!$G:$G)</f>
        <v>0</v>
      </c>
      <c r="O26" s="86">
        <f t="shared" si="7"/>
        <v>0</v>
      </c>
      <c r="P26" s="87"/>
    </row>
    <row r="27">
      <c r="A27" s="79"/>
      <c r="B27" s="80" t="s">
        <v>86</v>
      </c>
      <c r="C27" s="57" t="s">
        <v>82</v>
      </c>
      <c r="D27" s="57" t="s">
        <v>143</v>
      </c>
      <c r="E27" s="61" t="str">
        <f>IF(D27="","",VLOOKUP($D27,'3.Khách hàng'!$A:$I,2,0))</f>
        <v>PHAN THI NGOC</v>
      </c>
      <c r="F27" s="81">
        <f>IF(C27="","",VLOOKUP($C27,'1.Sản phẩm'!$D:$G,2,0))</f>
        <v>1064880</v>
      </c>
      <c r="G27" s="81">
        <v>78880.0</v>
      </c>
      <c r="H27" s="82">
        <f t="shared" si="3"/>
        <v>986000</v>
      </c>
      <c r="I27" s="83">
        <f t="shared" si="4"/>
        <v>912962.963</v>
      </c>
      <c r="J27" s="84">
        <v>0.08</v>
      </c>
      <c r="K27" s="83">
        <f t="shared" si="5"/>
        <v>73037.03704</v>
      </c>
      <c r="L27" s="85">
        <f>SUMIF('5.Thu tiền'!$B:$B,$B27,'5.Thu tiền'!$H:$H)</f>
        <v>986000</v>
      </c>
      <c r="M27" s="86">
        <f t="shared" si="6"/>
        <v>0</v>
      </c>
      <c r="N27" s="81">
        <f>SUMIF('6.Hóa đơn'!$C:$C,$B27,'6.Hóa đơn'!$G:$G)</f>
        <v>0</v>
      </c>
      <c r="O27" s="86">
        <f t="shared" si="7"/>
        <v>986000</v>
      </c>
      <c r="P27" s="87"/>
    </row>
    <row r="28">
      <c r="A28" s="79"/>
      <c r="B28" s="80" t="s">
        <v>91</v>
      </c>
      <c r="C28" s="57" t="s">
        <v>82</v>
      </c>
      <c r="D28" s="57" t="s">
        <v>146</v>
      </c>
      <c r="E28" s="61" t="str">
        <f>IF(D28="","",VLOOKUP($D28,'3.Khách hàng'!$A:$I,2,0))</f>
        <v>PHAM THI BICH HUONG</v>
      </c>
      <c r="F28" s="81">
        <f>IF(C28="","",VLOOKUP($C28,'1.Sản phẩm'!$D:$G,2,0))</f>
        <v>1064880</v>
      </c>
      <c r="G28" s="81">
        <v>865880.0</v>
      </c>
      <c r="H28" s="82">
        <f t="shared" si="3"/>
        <v>199000</v>
      </c>
      <c r="I28" s="83">
        <f t="shared" si="4"/>
        <v>184259.2593</v>
      </c>
      <c r="J28" s="84">
        <v>0.08</v>
      </c>
      <c r="K28" s="83">
        <f t="shared" si="5"/>
        <v>14740.74074</v>
      </c>
      <c r="L28" s="85">
        <f>SUMIF('5.Thu tiền'!$B:$B,$B28,'5.Thu tiền'!$H:$H)</f>
        <v>199000</v>
      </c>
      <c r="M28" s="86">
        <f t="shared" si="6"/>
        <v>0</v>
      </c>
      <c r="N28" s="81">
        <f>SUMIF('6.Hóa đơn'!$C:$C,$B28,'6.Hóa đơn'!$G:$G)</f>
        <v>0</v>
      </c>
      <c r="O28" s="86">
        <f t="shared" si="7"/>
        <v>199000</v>
      </c>
      <c r="P28" s="87"/>
    </row>
    <row r="29">
      <c r="A29" s="79"/>
      <c r="B29" s="80" t="s">
        <v>96</v>
      </c>
      <c r="C29" s="57" t="s">
        <v>82</v>
      </c>
      <c r="D29" s="57" t="s">
        <v>148</v>
      </c>
      <c r="E29" s="61" t="str">
        <f>IF(D29="","",VLOOKUP($D29,'3.Khách hàng'!$A:$I,2,0))</f>
        <v>NGUYEN THI THU HUONG</v>
      </c>
      <c r="F29" s="81">
        <f>IF(C29="","",VLOOKUP($C29,'1.Sản phẩm'!$D:$G,2,0))</f>
        <v>1064880</v>
      </c>
      <c r="G29" s="81">
        <v>664880.0</v>
      </c>
      <c r="H29" s="82">
        <f t="shared" si="3"/>
        <v>400000</v>
      </c>
      <c r="I29" s="83">
        <f t="shared" si="4"/>
        <v>370370.3704</v>
      </c>
      <c r="J29" s="84">
        <v>0.08</v>
      </c>
      <c r="K29" s="83">
        <f t="shared" si="5"/>
        <v>29629.62963</v>
      </c>
      <c r="L29" s="85">
        <f>SUMIF('5.Thu tiền'!$B:$B,$B29,'5.Thu tiền'!$H:$H)</f>
        <v>400000</v>
      </c>
      <c r="M29" s="86">
        <f t="shared" si="6"/>
        <v>0</v>
      </c>
      <c r="N29" s="81">
        <f>SUMIF('6.Hóa đơn'!$C:$C,$B29,'6.Hóa đơn'!$G:$G)</f>
        <v>0</v>
      </c>
      <c r="O29" s="86">
        <f t="shared" si="7"/>
        <v>400000</v>
      </c>
      <c r="P29" s="87"/>
    </row>
    <row r="30">
      <c r="A30" s="79"/>
      <c r="B30" s="80" t="s">
        <v>66</v>
      </c>
      <c r="C30" s="57" t="s">
        <v>82</v>
      </c>
      <c r="D30" s="57" t="s">
        <v>152</v>
      </c>
      <c r="E30" s="61" t="str">
        <f>IF(D30="","",VLOOKUP($D30,'3.Khách hàng'!$A:$I,2,0))</f>
        <v>DAM THI PHUONG THAO</v>
      </c>
      <c r="F30" s="81">
        <f>IF(C30="","",VLOOKUP($C30,'1.Sản phẩm'!$D:$G,2,0))</f>
        <v>1064880</v>
      </c>
      <c r="G30" s="81">
        <v>267880.0</v>
      </c>
      <c r="H30" s="82">
        <f t="shared" si="3"/>
        <v>797000</v>
      </c>
      <c r="I30" s="83">
        <f t="shared" si="4"/>
        <v>737962.963</v>
      </c>
      <c r="J30" s="84">
        <v>0.08</v>
      </c>
      <c r="K30" s="83">
        <f t="shared" si="5"/>
        <v>59037.03704</v>
      </c>
      <c r="L30" s="85">
        <f>SUMIF('5.Thu tiền'!$B:$B,$B30,'5.Thu tiền'!$H:$H)</f>
        <v>797000</v>
      </c>
      <c r="M30" s="86">
        <f t="shared" si="6"/>
        <v>0</v>
      </c>
      <c r="N30" s="81">
        <f>SUMIF('6.Hóa đơn'!$C:$C,$B30,'6.Hóa đơn'!$G:$G)</f>
        <v>597000</v>
      </c>
      <c r="O30" s="86">
        <f t="shared" si="7"/>
        <v>200000</v>
      </c>
      <c r="P30" s="87"/>
    </row>
    <row r="31">
      <c r="A31" s="79"/>
      <c r="B31" s="80" t="s">
        <v>110</v>
      </c>
      <c r="C31" s="57" t="s">
        <v>82</v>
      </c>
      <c r="D31" s="57" t="s">
        <v>167</v>
      </c>
      <c r="E31" s="61" t="str">
        <f>IF(D31="","",VLOOKUP($D31,'3.Khách hàng'!$A:$I,2,0))</f>
        <v>TRAN QUANG NGHIEP</v>
      </c>
      <c r="F31" s="81">
        <f>IF(C31="","",VLOOKUP($C31,'1.Sản phẩm'!$D:$G,2,0))</f>
        <v>1064880</v>
      </c>
      <c r="G31" s="81">
        <v>664880.0</v>
      </c>
      <c r="H31" s="82">
        <f t="shared" si="3"/>
        <v>400000</v>
      </c>
      <c r="I31" s="83">
        <f t="shared" si="4"/>
        <v>370370.3704</v>
      </c>
      <c r="J31" s="84">
        <v>0.08</v>
      </c>
      <c r="K31" s="83">
        <f t="shared" si="5"/>
        <v>29629.62963</v>
      </c>
      <c r="L31" s="85">
        <f>SUMIF('5.Thu tiền'!$B:$B,$B31,'5.Thu tiền'!$H:$H)</f>
        <v>400000</v>
      </c>
      <c r="M31" s="86">
        <f t="shared" si="6"/>
        <v>0</v>
      </c>
      <c r="N31" s="81">
        <f>SUMIF('6.Hóa đơn'!$C:$C,$B31,'6.Hóa đơn'!$G:$G)</f>
        <v>0</v>
      </c>
      <c r="O31" s="86">
        <f t="shared" si="7"/>
        <v>400000</v>
      </c>
      <c r="P31" s="87"/>
    </row>
    <row r="32">
      <c r="A32" s="79"/>
      <c r="B32" s="80" t="s">
        <v>114</v>
      </c>
      <c r="C32" s="57" t="s">
        <v>82</v>
      </c>
      <c r="D32" s="57" t="s">
        <v>170</v>
      </c>
      <c r="E32" s="61" t="str">
        <f>IF(D32="","",VLOOKUP($D32,'3.Khách hàng'!$A:$I,2,0))</f>
        <v>MAI THỊ THANH QUY</v>
      </c>
      <c r="F32" s="81">
        <f>IF(C32="","",VLOOKUP($C32,'1.Sản phẩm'!$D:$G,2,0))</f>
        <v>1064880</v>
      </c>
      <c r="G32" s="81">
        <v>865880.0</v>
      </c>
      <c r="H32" s="82">
        <f t="shared" si="3"/>
        <v>199000</v>
      </c>
      <c r="I32" s="83">
        <f t="shared" si="4"/>
        <v>184259.2593</v>
      </c>
      <c r="J32" s="84">
        <v>0.08</v>
      </c>
      <c r="K32" s="83">
        <f t="shared" si="5"/>
        <v>14740.74074</v>
      </c>
      <c r="L32" s="85">
        <f>SUMIF('5.Thu tiền'!$B:$B,$B32,'5.Thu tiền'!$H:$H)</f>
        <v>199000</v>
      </c>
      <c r="M32" s="86">
        <f t="shared" si="6"/>
        <v>0</v>
      </c>
      <c r="N32" s="81">
        <f>SUMIF('6.Hóa đơn'!$C:$C,$B32,'6.Hóa đơn'!$G:$G)</f>
        <v>0</v>
      </c>
      <c r="O32" s="86">
        <f t="shared" si="7"/>
        <v>199000</v>
      </c>
      <c r="P32" s="87"/>
    </row>
    <row r="33">
      <c r="A33" s="79"/>
      <c r="B33" s="80" t="s">
        <v>116</v>
      </c>
      <c r="C33" s="57" t="s">
        <v>82</v>
      </c>
      <c r="D33" s="57" t="s">
        <v>172</v>
      </c>
      <c r="E33" s="61" t="str">
        <f>IF(D33="","",VLOOKUP($D33,'3.Khách hàng'!$A:$I,2,0))</f>
        <v>PHAM XUAN THUY</v>
      </c>
      <c r="F33" s="81">
        <f>IF(C33="","",VLOOKUP($C33,'1.Sản phẩm'!$D:$G,2,0))</f>
        <v>1064880</v>
      </c>
      <c r="G33" s="81">
        <v>865880.0</v>
      </c>
      <c r="H33" s="82">
        <f t="shared" si="3"/>
        <v>199000</v>
      </c>
      <c r="I33" s="83">
        <f t="shared" si="4"/>
        <v>184259.2593</v>
      </c>
      <c r="J33" s="84">
        <v>0.08</v>
      </c>
      <c r="K33" s="83">
        <f t="shared" si="5"/>
        <v>14740.74074</v>
      </c>
      <c r="L33" s="85">
        <f>SUMIF('5.Thu tiền'!$B:$B,$B33,'5.Thu tiền'!$H:$H)</f>
        <v>199000</v>
      </c>
      <c r="M33" s="86">
        <f t="shared" si="6"/>
        <v>0</v>
      </c>
      <c r="N33" s="81">
        <f>SUMIF('6.Hóa đơn'!$C:$C,$B33,'6.Hóa đơn'!$G:$G)</f>
        <v>0</v>
      </c>
      <c r="O33" s="86">
        <f t="shared" si="7"/>
        <v>199000</v>
      </c>
      <c r="P33" s="87"/>
    </row>
    <row r="34">
      <c r="A34" s="79"/>
      <c r="B34" s="80" t="s">
        <v>119</v>
      </c>
      <c r="C34" s="57" t="s">
        <v>82</v>
      </c>
      <c r="D34" s="57" t="s">
        <v>174</v>
      </c>
      <c r="E34" s="61" t="str">
        <f>IF(D34="","",VLOOKUP($D34,'3.Khách hàng'!$A:$I,2,0))</f>
        <v>NGUYEN TRUNG CHIEN</v>
      </c>
      <c r="F34" s="81">
        <f>IF(C34="","",VLOOKUP($C34,'1.Sản phẩm'!$D:$G,2,0))</f>
        <v>1064880</v>
      </c>
      <c r="G34" s="81">
        <v>865880.0</v>
      </c>
      <c r="H34" s="82">
        <f t="shared" si="3"/>
        <v>199000</v>
      </c>
      <c r="I34" s="83">
        <f t="shared" si="4"/>
        <v>184259.2593</v>
      </c>
      <c r="J34" s="84">
        <v>0.08</v>
      </c>
      <c r="K34" s="83">
        <f t="shared" si="5"/>
        <v>14740.74074</v>
      </c>
      <c r="L34" s="85">
        <f>SUMIF('5.Thu tiền'!$B:$B,$B34,'5.Thu tiền'!$H:$H)</f>
        <v>199000</v>
      </c>
      <c r="M34" s="86">
        <f t="shared" si="6"/>
        <v>0</v>
      </c>
      <c r="N34" s="81">
        <f>SUMIF('6.Hóa đơn'!$C:$C,$B34,'6.Hóa đơn'!$G:$G)</f>
        <v>0</v>
      </c>
      <c r="O34" s="86">
        <f t="shared" si="7"/>
        <v>199000</v>
      </c>
      <c r="P34" s="87"/>
    </row>
    <row r="35">
      <c r="A35" s="79"/>
      <c r="B35" s="80" t="s">
        <v>121</v>
      </c>
      <c r="C35" s="57" t="s">
        <v>82</v>
      </c>
      <c r="D35" s="57" t="s">
        <v>176</v>
      </c>
      <c r="E35" s="61" t="str">
        <f>IF(D35="","",VLOOKUP($D35,'3.Khách hàng'!$A:$I,2,0))</f>
        <v>VU DINH HOANG ANH</v>
      </c>
      <c r="F35" s="81">
        <f>IF(C35="","",VLOOKUP($C35,'1.Sản phẩm'!$D:$G,2,0))</f>
        <v>1064880</v>
      </c>
      <c r="G35" s="81">
        <v>865880.0</v>
      </c>
      <c r="H35" s="82">
        <f t="shared" si="3"/>
        <v>199000</v>
      </c>
      <c r="I35" s="83">
        <f t="shared" si="4"/>
        <v>184259.2593</v>
      </c>
      <c r="J35" s="84">
        <v>0.08</v>
      </c>
      <c r="K35" s="83">
        <f t="shared" si="5"/>
        <v>14740.74074</v>
      </c>
      <c r="L35" s="85">
        <f>SUMIF('5.Thu tiền'!$B:$B,$B35,'5.Thu tiền'!$H:$H)</f>
        <v>199000</v>
      </c>
      <c r="M35" s="86">
        <f t="shared" si="6"/>
        <v>0</v>
      </c>
      <c r="N35" s="81">
        <f>SUMIF('6.Hóa đơn'!$C:$C,$B35,'6.Hóa đơn'!$G:$G)</f>
        <v>0</v>
      </c>
      <c r="O35" s="86">
        <f t="shared" si="7"/>
        <v>199000</v>
      </c>
      <c r="P35" s="87"/>
    </row>
    <row r="36">
      <c r="A36" s="79"/>
      <c r="B36" s="80" t="s">
        <v>124</v>
      </c>
      <c r="C36" s="57" t="s">
        <v>82</v>
      </c>
      <c r="D36" s="57" t="s">
        <v>183</v>
      </c>
      <c r="E36" s="61" t="str">
        <f>IF(D36="","",VLOOKUP($D36,'3.Khách hàng'!$A:$I,2,0))</f>
        <v>CÔNG TY TNHH DỊCH VỤ VÀ THƯƠNG MẠI MSC</v>
      </c>
      <c r="F36" s="81">
        <f>IF(C36="","",VLOOKUP($C36,'1.Sản phẩm'!$D:$G,2,0))</f>
        <v>1064880</v>
      </c>
      <c r="G36" s="81">
        <v>467880.0</v>
      </c>
      <c r="H36" s="82">
        <f t="shared" si="3"/>
        <v>597000</v>
      </c>
      <c r="I36" s="83">
        <f t="shared" si="4"/>
        <v>552777.7778</v>
      </c>
      <c r="J36" s="84">
        <v>0.08</v>
      </c>
      <c r="K36" s="83">
        <f t="shared" si="5"/>
        <v>44222.22222</v>
      </c>
      <c r="L36" s="85">
        <f>SUMIF('5.Thu tiền'!$B:$B,$B36,'5.Thu tiền'!$H:$H)</f>
        <v>597000</v>
      </c>
      <c r="M36" s="86">
        <f t="shared" si="6"/>
        <v>0</v>
      </c>
      <c r="N36" s="81">
        <f>SUMIF('6.Hóa đơn'!$C:$C,$B36,'6.Hóa đơn'!$G:$G)</f>
        <v>0</v>
      </c>
      <c r="O36" s="86">
        <f t="shared" si="7"/>
        <v>597000</v>
      </c>
      <c r="P36" s="87"/>
    </row>
    <row r="37">
      <c r="A37" s="79"/>
      <c r="B37" s="80" t="s">
        <v>68</v>
      </c>
      <c r="C37" s="57"/>
      <c r="D37" s="57"/>
      <c r="E37" s="61" t="str">
        <f>IF(D37="","",VLOOKUP($D37,'3.Khách hàng'!$A:$I,2,0))</f>
        <v/>
      </c>
      <c r="F37" s="81"/>
      <c r="G37" s="81"/>
      <c r="H37" s="82">
        <f t="shared" si="3"/>
        <v>0</v>
      </c>
      <c r="I37" s="83">
        <f t="shared" si="4"/>
        <v>0</v>
      </c>
      <c r="J37" s="84">
        <v>0.08</v>
      </c>
      <c r="K37" s="83">
        <f t="shared" si="5"/>
        <v>0</v>
      </c>
      <c r="L37" s="85">
        <f>SUMIF('5.Thu tiền'!$B:$B,$B37,'5.Thu tiền'!$H:$H)</f>
        <v>0</v>
      </c>
      <c r="M37" s="86">
        <f t="shared" si="6"/>
        <v>0</v>
      </c>
      <c r="N37" s="81">
        <f>SUMIF('6.Hóa đơn'!$C:$C,$B37,'6.Hóa đơn'!$G:$G)</f>
        <v>35087000</v>
      </c>
      <c r="O37" s="86">
        <f t="shared" si="7"/>
        <v>-35087000</v>
      </c>
      <c r="P37" s="87"/>
    </row>
    <row r="38">
      <c r="A38" s="79"/>
      <c r="B38" s="80" t="s">
        <v>76</v>
      </c>
      <c r="C38" s="57" t="s">
        <v>126</v>
      </c>
      <c r="D38" s="57" t="s">
        <v>144</v>
      </c>
      <c r="E38" s="61" t="str">
        <f>IF(D38="","",VLOOKUP($D38,'3.Khách hàng'!$A:$I,2,0))</f>
        <v>MAI THUY PHUONG</v>
      </c>
      <c r="F38" s="81">
        <f>IF(C38="","",VLOOKUP($C38,'1.Sản phẩm'!$D:$G,2,0))</f>
        <v>204104880</v>
      </c>
      <c r="G38" s="81"/>
      <c r="H38" s="82">
        <f t="shared" si="3"/>
        <v>204104880</v>
      </c>
      <c r="I38" s="83">
        <f t="shared" si="4"/>
        <v>188986000</v>
      </c>
      <c r="J38" s="84">
        <v>0.08</v>
      </c>
      <c r="K38" s="83">
        <f t="shared" si="5"/>
        <v>15118880</v>
      </c>
      <c r="L38" s="85">
        <f>SUMIF('5.Thu tiền'!$B:$B,$B38,'5.Thu tiền'!$H:$H)</f>
        <v>5000000</v>
      </c>
      <c r="M38" s="86">
        <f t="shared" si="6"/>
        <v>199104880</v>
      </c>
      <c r="N38" s="81">
        <f>SUMIF('6.Hóa đơn'!$C:$C,$B38,'6.Hóa đơn'!$G:$G)</f>
        <v>5000000</v>
      </c>
      <c r="O38" s="86">
        <f t="shared" si="7"/>
        <v>199104880</v>
      </c>
      <c r="P38" s="87"/>
    </row>
    <row r="39">
      <c r="A39" s="79"/>
      <c r="B39" s="80" t="s">
        <v>104</v>
      </c>
      <c r="C39" s="57" t="s">
        <v>117</v>
      </c>
      <c r="D39" s="57" t="s">
        <v>163</v>
      </c>
      <c r="E39" s="61" t="str">
        <f>IF(D39="","",VLOOKUP($D39,'3.Khách hàng'!$A:$I,2,0))</f>
        <v>DANG THANH TRA MY</v>
      </c>
      <c r="F39" s="81">
        <f>IF(C39="","",VLOOKUP($C39,'1.Sản phẩm'!$D:$G,2,0))</f>
        <v>49664880</v>
      </c>
      <c r="G39" s="81"/>
      <c r="H39" s="82">
        <f t="shared" si="3"/>
        <v>49664880</v>
      </c>
      <c r="I39" s="83">
        <f t="shared" si="4"/>
        <v>45986000</v>
      </c>
      <c r="J39" s="84">
        <v>0.08</v>
      </c>
      <c r="K39" s="83">
        <f t="shared" si="5"/>
        <v>3678880</v>
      </c>
      <c r="L39" s="85">
        <f>SUMIF('5.Thu tiền'!$B:$B,$B39,'5.Thu tiền'!$H:$H)</f>
        <v>23287400</v>
      </c>
      <c r="M39" s="86">
        <f t="shared" si="6"/>
        <v>26377480</v>
      </c>
      <c r="N39" s="81">
        <f>SUMIF('6.Hóa đơn'!$C:$C,$B39,'6.Hóa đơn'!$G:$G)</f>
        <v>0</v>
      </c>
      <c r="O39" s="86">
        <f t="shared" si="7"/>
        <v>49664880</v>
      </c>
      <c r="P39" s="87"/>
    </row>
    <row r="40">
      <c r="A40" s="79"/>
      <c r="B40" s="80" t="s">
        <v>137</v>
      </c>
      <c r="C40" s="57" t="s">
        <v>117</v>
      </c>
      <c r="D40" s="57" t="s">
        <v>202</v>
      </c>
      <c r="E40" s="61" t="str">
        <f>IF(D40="","",VLOOKUP($D40,'3.Khách hàng'!$A:$I,2,0))</f>
        <v>VÕ THỊ MỸ LỘC</v>
      </c>
      <c r="F40" s="81">
        <f>IF(C40="","",VLOOKUP($C40,'1.Sản phẩm'!$D:$G,2,0))</f>
        <v>49664880</v>
      </c>
      <c r="G40" s="81"/>
      <c r="H40" s="82">
        <f t="shared" si="3"/>
        <v>49664880</v>
      </c>
      <c r="I40" s="83">
        <f t="shared" si="4"/>
        <v>45986000</v>
      </c>
      <c r="J40" s="84">
        <v>0.08</v>
      </c>
      <c r="K40" s="83">
        <f t="shared" si="5"/>
        <v>3678880</v>
      </c>
      <c r="L40" s="85">
        <f>SUMIF('5.Thu tiền'!$B:$B,$B40,'5.Thu tiền'!$H:$H)</f>
        <v>42105000</v>
      </c>
      <c r="M40" s="86">
        <f t="shared" si="6"/>
        <v>7559880</v>
      </c>
      <c r="N40" s="81">
        <f>SUMIF('6.Hóa đơn'!$C:$C,$B40,'6.Hóa đơn'!$G:$G)</f>
        <v>0</v>
      </c>
      <c r="O40" s="86">
        <f t="shared" si="7"/>
        <v>49664880</v>
      </c>
      <c r="P40" s="87"/>
    </row>
    <row r="41">
      <c r="A41" s="79"/>
      <c r="B41" s="80" t="s">
        <v>85</v>
      </c>
      <c r="C41" s="57" t="s">
        <v>117</v>
      </c>
      <c r="D41" s="57" t="s">
        <v>206</v>
      </c>
      <c r="E41" s="61" t="str">
        <f>IF(D41="","",VLOOKUP($D41,'3.Khách hàng'!$A:$I,2,0))</f>
        <v>NGUYỄN THỊ KIM</v>
      </c>
      <c r="F41" s="81">
        <f>IF(C41="","",VLOOKUP($C41,'1.Sản phẩm'!$D:$G,2,0))</f>
        <v>49664880</v>
      </c>
      <c r="G41" s="81"/>
      <c r="H41" s="82">
        <f t="shared" si="3"/>
        <v>49664880</v>
      </c>
      <c r="I41" s="83">
        <f t="shared" si="4"/>
        <v>45986000</v>
      </c>
      <c r="J41" s="84">
        <v>0.08</v>
      </c>
      <c r="K41" s="83">
        <f t="shared" si="5"/>
        <v>3678880</v>
      </c>
      <c r="L41" s="85">
        <f>SUMIF('5.Thu tiền'!$B:$B,$B41,'5.Thu tiền'!$H:$H)</f>
        <v>33287400</v>
      </c>
      <c r="M41" s="86">
        <f t="shared" si="6"/>
        <v>16377480</v>
      </c>
      <c r="N41" s="81">
        <f>SUMIF('6.Hóa đơn'!$C:$C,$B41,'6.Hóa đơn'!$G:$G)</f>
        <v>33287400</v>
      </c>
      <c r="O41" s="86">
        <f t="shared" si="7"/>
        <v>16377480</v>
      </c>
      <c r="P41" s="87"/>
    </row>
    <row r="42">
      <c r="A42" s="79"/>
      <c r="B42" s="80" t="s">
        <v>210</v>
      </c>
      <c r="C42" s="121"/>
      <c r="D42" s="121"/>
      <c r="E42" s="61" t="str">
        <f>IF(D42="","",VLOOKUP($D42,'3.Khách hàng'!$A:$I,2,0))</f>
        <v/>
      </c>
      <c r="F42" s="121" t="str">
        <f>IF(C42="","",VLOOKUP($C42,'1.Sản phẩm'!$D:$G,2,0))</f>
        <v/>
      </c>
      <c r="G42" s="81"/>
      <c r="H42" s="82">
        <f t="shared" si="3"/>
        <v>0</v>
      </c>
      <c r="I42" s="83">
        <f t="shared" si="4"/>
        <v>0</v>
      </c>
      <c r="J42" s="84">
        <v>0.08</v>
      </c>
      <c r="K42" s="83">
        <f t="shared" si="5"/>
        <v>0</v>
      </c>
      <c r="L42" s="85">
        <f>SUMIF('5.Thu tiền'!$B:$B,$B42,'5.Thu tiền'!$H:$H)</f>
        <v>0</v>
      </c>
      <c r="M42" s="86">
        <f t="shared" si="6"/>
        <v>0</v>
      </c>
      <c r="N42" s="81">
        <f>SUMIF('6.Hóa đơn'!$C:$C,$B42,'6.Hóa đơn'!$G:$G)</f>
        <v>0</v>
      </c>
      <c r="O42" s="86">
        <f t="shared" si="7"/>
        <v>0</v>
      </c>
      <c r="P42" s="87"/>
    </row>
    <row r="43">
      <c r="A43" s="79"/>
      <c r="B43" s="80" t="s">
        <v>215</v>
      </c>
      <c r="C43" s="121"/>
      <c r="D43" s="121"/>
      <c r="E43" s="61" t="str">
        <f>IF(D43="","",VLOOKUP($D43,'3.Khách hàng'!$A:$I,2,0))</f>
        <v/>
      </c>
      <c r="F43" s="121" t="str">
        <f>IF(C43="","",VLOOKUP($C43,'1.Sản phẩm'!$D:$G,2,0))</f>
        <v/>
      </c>
      <c r="G43" s="81"/>
      <c r="H43" s="82">
        <f t="shared" si="3"/>
        <v>0</v>
      </c>
      <c r="I43" s="83">
        <f t="shared" si="4"/>
        <v>0</v>
      </c>
      <c r="J43" s="84">
        <v>0.08</v>
      </c>
      <c r="K43" s="83">
        <f t="shared" si="5"/>
        <v>0</v>
      </c>
      <c r="L43" s="85">
        <f>SUMIF('5.Thu tiền'!$B:$B,$B43,'5.Thu tiền'!$H:$H)</f>
        <v>0</v>
      </c>
      <c r="M43" s="86">
        <f t="shared" si="6"/>
        <v>0</v>
      </c>
      <c r="N43" s="81">
        <f>SUMIF('6.Hóa đơn'!$C:$C,$B43,'6.Hóa đơn'!$G:$G)</f>
        <v>0</v>
      </c>
      <c r="O43" s="86">
        <f t="shared" si="7"/>
        <v>0</v>
      </c>
      <c r="P43" s="87"/>
    </row>
    <row r="44">
      <c r="A44" s="79"/>
      <c r="B44" s="80" t="s">
        <v>221</v>
      </c>
      <c r="C44" s="121"/>
      <c r="D44" s="121"/>
      <c r="E44" s="61" t="str">
        <f>IF(D44="","",VLOOKUP($D44,'3.Khách hàng'!$A:$I,2,0))</f>
        <v/>
      </c>
      <c r="F44" s="121" t="str">
        <f>IF(C44="","",VLOOKUP($C44,'1.Sản phẩm'!$D:$G,2,0))</f>
        <v/>
      </c>
      <c r="G44" s="81"/>
      <c r="H44" s="82">
        <f t="shared" si="3"/>
        <v>0</v>
      </c>
      <c r="I44" s="83">
        <f t="shared" si="4"/>
        <v>0</v>
      </c>
      <c r="J44" s="84">
        <v>0.08</v>
      </c>
      <c r="K44" s="83">
        <f t="shared" si="5"/>
        <v>0</v>
      </c>
      <c r="L44" s="85">
        <f>SUMIF('5.Thu tiền'!$B:$B,$B44,'5.Thu tiền'!$H:$H)</f>
        <v>0</v>
      </c>
      <c r="M44" s="86">
        <f t="shared" si="6"/>
        <v>0</v>
      </c>
      <c r="N44" s="81">
        <f>SUMIF('6.Hóa đơn'!$C:$C,$B44,'6.Hóa đơn'!$G:$G)</f>
        <v>0</v>
      </c>
      <c r="O44" s="86">
        <f t="shared" si="7"/>
        <v>0</v>
      </c>
      <c r="P44" s="87"/>
    </row>
    <row r="45">
      <c r="A45" s="79"/>
      <c r="B45" s="80" t="s">
        <v>224</v>
      </c>
      <c r="C45" s="121"/>
      <c r="D45" s="121"/>
      <c r="E45" s="61" t="str">
        <f>IF(D45="","",VLOOKUP($D45,'3.Khách hàng'!$A:$I,2,0))</f>
        <v/>
      </c>
      <c r="F45" s="121" t="str">
        <f>IF(C45="","",VLOOKUP($C45,'1.Sản phẩm'!$D:$G,2,0))</f>
        <v/>
      </c>
      <c r="G45" s="81"/>
      <c r="H45" s="82">
        <f t="shared" si="3"/>
        <v>0</v>
      </c>
      <c r="I45" s="83">
        <f t="shared" si="4"/>
        <v>0</v>
      </c>
      <c r="J45" s="84">
        <v>0.08</v>
      </c>
      <c r="K45" s="83">
        <f t="shared" si="5"/>
        <v>0</v>
      </c>
      <c r="L45" s="85">
        <f>SUMIF('5.Thu tiền'!$B:$B,$B45,'5.Thu tiền'!$H:$H)</f>
        <v>0</v>
      </c>
      <c r="M45" s="86">
        <f t="shared" si="6"/>
        <v>0</v>
      </c>
      <c r="N45" s="81">
        <f>SUMIF('6.Hóa đơn'!$C:$C,$B45,'6.Hóa đơn'!$G:$G)</f>
        <v>0</v>
      </c>
      <c r="O45" s="86">
        <f t="shared" si="7"/>
        <v>0</v>
      </c>
      <c r="P45" s="87"/>
    </row>
    <row r="46">
      <c r="A46" s="79"/>
      <c r="B46" s="80" t="s">
        <v>228</v>
      </c>
      <c r="C46" s="121"/>
      <c r="D46" s="121"/>
      <c r="E46" s="61" t="str">
        <f>IF(D46="","",VLOOKUP($D46,'3.Khách hàng'!$A:$I,2,0))</f>
        <v/>
      </c>
      <c r="F46" s="121" t="str">
        <f>IF(C46="","",VLOOKUP($C46,'1.Sản phẩm'!$D:$G,2,0))</f>
        <v/>
      </c>
      <c r="G46" s="81"/>
      <c r="H46" s="82">
        <f t="shared" si="3"/>
        <v>0</v>
      </c>
      <c r="I46" s="83">
        <f t="shared" si="4"/>
        <v>0</v>
      </c>
      <c r="J46" s="84">
        <v>0.08</v>
      </c>
      <c r="K46" s="83">
        <f t="shared" si="5"/>
        <v>0</v>
      </c>
      <c r="L46" s="85">
        <f>SUMIF('5.Thu tiền'!$B:$B,$B46,'5.Thu tiền'!$H:$H)</f>
        <v>0</v>
      </c>
      <c r="M46" s="86">
        <f t="shared" si="6"/>
        <v>0</v>
      </c>
      <c r="N46" s="81">
        <f>SUMIF('6.Hóa đơn'!$C:$C,$B46,'6.Hóa đơn'!$G:$G)</f>
        <v>0</v>
      </c>
      <c r="O46" s="86">
        <f t="shared" si="7"/>
        <v>0</v>
      </c>
      <c r="P46" s="87"/>
    </row>
    <row r="47">
      <c r="A47" s="79"/>
      <c r="B47" s="80" t="s">
        <v>232</v>
      </c>
      <c r="C47" s="121"/>
      <c r="D47" s="121"/>
      <c r="E47" s="61" t="str">
        <f>IF(D47="","",VLOOKUP($D47,'3.Khách hàng'!$A:$I,2,0))</f>
        <v/>
      </c>
      <c r="F47" s="121" t="str">
        <f>IF(C47="","",VLOOKUP($C47,'1.Sản phẩm'!$D:$G,2,0))</f>
        <v/>
      </c>
      <c r="G47" s="81"/>
      <c r="H47" s="82">
        <f t="shared" si="3"/>
        <v>0</v>
      </c>
      <c r="I47" s="83">
        <f t="shared" si="4"/>
        <v>0</v>
      </c>
      <c r="J47" s="84">
        <v>0.08</v>
      </c>
      <c r="K47" s="83">
        <f t="shared" si="5"/>
        <v>0</v>
      </c>
      <c r="L47" s="85">
        <f>SUMIF('5.Thu tiền'!$B:$B,$B47,'5.Thu tiền'!$H:$H)</f>
        <v>0</v>
      </c>
      <c r="M47" s="86">
        <f t="shared" si="6"/>
        <v>0</v>
      </c>
      <c r="N47" s="81">
        <f>SUMIF('6.Hóa đơn'!$C:$C,$B47,'6.Hóa đơn'!$G:$G)</f>
        <v>0</v>
      </c>
      <c r="O47" s="86">
        <f t="shared" si="7"/>
        <v>0</v>
      </c>
      <c r="P47" s="87"/>
    </row>
    <row r="48">
      <c r="A48" s="79"/>
      <c r="B48" s="80" t="s">
        <v>236</v>
      </c>
      <c r="C48" s="121"/>
      <c r="D48" s="121"/>
      <c r="E48" s="61" t="str">
        <f>IF(D48="","",VLOOKUP($D48,'3.Khách hàng'!$A:$I,2,0))</f>
        <v/>
      </c>
      <c r="F48" s="121" t="str">
        <f>IF(C48="","",VLOOKUP($C48,'1.Sản phẩm'!$D:$G,2,0))</f>
        <v/>
      </c>
      <c r="G48" s="81"/>
      <c r="H48" s="82">
        <f t="shared" si="3"/>
        <v>0</v>
      </c>
      <c r="I48" s="83">
        <f t="shared" si="4"/>
        <v>0</v>
      </c>
      <c r="J48" s="84">
        <v>0.08</v>
      </c>
      <c r="K48" s="83">
        <f t="shared" si="5"/>
        <v>0</v>
      </c>
      <c r="L48" s="85">
        <f>SUMIF('5.Thu tiền'!$B:$B,$B48,'5.Thu tiền'!$H:$H)</f>
        <v>0</v>
      </c>
      <c r="M48" s="86">
        <f t="shared" si="6"/>
        <v>0</v>
      </c>
      <c r="N48" s="81">
        <f>SUMIF('6.Hóa đơn'!$C:$C,$B48,'6.Hóa đơn'!$G:$G)</f>
        <v>0</v>
      </c>
      <c r="O48" s="86">
        <f t="shared" si="7"/>
        <v>0</v>
      </c>
      <c r="P48" s="87"/>
    </row>
    <row r="49">
      <c r="A49" s="79"/>
      <c r="B49" s="80" t="s">
        <v>246</v>
      </c>
      <c r="C49" s="121"/>
      <c r="D49" s="121"/>
      <c r="E49" s="61" t="str">
        <f>IF(D49="","",VLOOKUP($D49,'3.Khách hàng'!$A:$I,2,0))</f>
        <v/>
      </c>
      <c r="F49" s="121" t="str">
        <f>IF(C49="","",VLOOKUP($C49,'1.Sản phẩm'!$D:$G,2,0))</f>
        <v/>
      </c>
      <c r="G49" s="81"/>
      <c r="H49" s="82">
        <f t="shared" si="3"/>
        <v>0</v>
      </c>
      <c r="I49" s="83">
        <f t="shared" si="4"/>
        <v>0</v>
      </c>
      <c r="J49" s="84">
        <v>0.08</v>
      </c>
      <c r="K49" s="83">
        <f t="shared" si="5"/>
        <v>0</v>
      </c>
      <c r="L49" s="85">
        <f>SUMIF('5.Thu tiền'!$B:$B,$B49,'5.Thu tiền'!$H:$H)</f>
        <v>0</v>
      </c>
      <c r="M49" s="86">
        <f t="shared" si="6"/>
        <v>0</v>
      </c>
      <c r="N49" s="81">
        <f>SUMIF('6.Hóa đơn'!$C:$C,$B49,'6.Hóa đơn'!$G:$G)</f>
        <v>0</v>
      </c>
      <c r="O49" s="86">
        <f t="shared" si="7"/>
        <v>0</v>
      </c>
      <c r="P49" s="87"/>
    </row>
    <row r="50">
      <c r="A50" s="79"/>
      <c r="B50" s="80" t="s">
        <v>253</v>
      </c>
      <c r="C50" s="121"/>
      <c r="D50" s="121"/>
      <c r="E50" s="61" t="str">
        <f>IF(D50="","",VLOOKUP($D50,'3.Khách hàng'!$A:$I,2,0))</f>
        <v/>
      </c>
      <c r="F50" s="121" t="str">
        <f>IF(C50="","",VLOOKUP($C50,'1.Sản phẩm'!$D:$G,2,0))</f>
        <v/>
      </c>
      <c r="G50" s="81"/>
      <c r="H50" s="82">
        <f t="shared" si="3"/>
        <v>0</v>
      </c>
      <c r="I50" s="83">
        <f t="shared" si="4"/>
        <v>0</v>
      </c>
      <c r="J50" s="84">
        <v>0.08</v>
      </c>
      <c r="K50" s="83">
        <f t="shared" si="5"/>
        <v>0</v>
      </c>
      <c r="L50" s="85">
        <f>SUMIF('5.Thu tiền'!$B:$B,$B50,'5.Thu tiền'!$H:$H)</f>
        <v>0</v>
      </c>
      <c r="M50" s="86">
        <f t="shared" si="6"/>
        <v>0</v>
      </c>
      <c r="N50" s="81">
        <f>SUMIF('6.Hóa đơn'!$C:$C,$B50,'6.Hóa đơn'!$G:$G)</f>
        <v>0</v>
      </c>
      <c r="O50" s="86">
        <f t="shared" si="7"/>
        <v>0</v>
      </c>
      <c r="P50" s="87"/>
    </row>
    <row r="51">
      <c r="A51" s="79"/>
      <c r="B51" s="80" t="s">
        <v>267</v>
      </c>
      <c r="C51" s="121"/>
      <c r="D51" s="121"/>
      <c r="E51" s="61" t="str">
        <f>IF(D51="","",VLOOKUP($D51,'3.Khách hàng'!$A:$I,2,0))</f>
        <v/>
      </c>
      <c r="F51" s="121" t="str">
        <f>IF(C51="","",VLOOKUP($C51,'1.Sản phẩm'!$D:$G,2,0))</f>
        <v/>
      </c>
      <c r="G51" s="81"/>
      <c r="H51" s="82">
        <f t="shared" si="3"/>
        <v>0</v>
      </c>
      <c r="I51" s="83">
        <f t="shared" si="4"/>
        <v>0</v>
      </c>
      <c r="J51" s="84">
        <v>0.08</v>
      </c>
      <c r="K51" s="83">
        <f t="shared" si="5"/>
        <v>0</v>
      </c>
      <c r="L51" s="85">
        <f>SUMIF('5.Thu tiền'!$B:$B,$B51,'5.Thu tiền'!$H:$H)</f>
        <v>0</v>
      </c>
      <c r="M51" s="86">
        <f t="shared" si="6"/>
        <v>0</v>
      </c>
      <c r="N51" s="81">
        <f>SUMIF('6.Hóa đơn'!$C:$C,$B51,'6.Hóa đơn'!$G:$G)</f>
        <v>0</v>
      </c>
      <c r="O51" s="86">
        <f t="shared" si="7"/>
        <v>0</v>
      </c>
      <c r="P51" s="87"/>
    </row>
    <row r="52">
      <c r="A52" s="79"/>
      <c r="B52" s="80" t="s">
        <v>285</v>
      </c>
      <c r="C52" s="121"/>
      <c r="D52" s="121"/>
      <c r="E52" s="61" t="str">
        <f>IF(D52="","",VLOOKUP($D52,'3.Khách hàng'!$A:$I,2,0))</f>
        <v/>
      </c>
      <c r="F52" s="121" t="str">
        <f>IF(C52="","",VLOOKUP($C52,'1.Sản phẩm'!$D:$G,2,0))</f>
        <v/>
      </c>
      <c r="G52" s="81"/>
      <c r="H52" s="82">
        <f t="shared" si="3"/>
        <v>0</v>
      </c>
      <c r="I52" s="83">
        <f t="shared" si="4"/>
        <v>0</v>
      </c>
      <c r="J52" s="84">
        <v>0.08</v>
      </c>
      <c r="K52" s="83">
        <f t="shared" si="5"/>
        <v>0</v>
      </c>
      <c r="L52" s="85">
        <f>SUMIF('5.Thu tiền'!$B:$B,$B52,'5.Thu tiền'!$H:$H)</f>
        <v>0</v>
      </c>
      <c r="M52" s="86">
        <f t="shared" si="6"/>
        <v>0</v>
      </c>
      <c r="N52" s="81">
        <f>SUMIF('6.Hóa đơn'!$C:$C,$B52,'6.Hóa đơn'!$G:$G)</f>
        <v>0</v>
      </c>
      <c r="O52" s="86">
        <f t="shared" si="7"/>
        <v>0</v>
      </c>
      <c r="P52" s="87"/>
    </row>
  </sheetData>
  <autoFilter ref="$B$3:$O$52"/>
  <mergeCells count="3">
    <mergeCell ref="H1:K1"/>
    <mergeCell ref="L1:M1"/>
    <mergeCell ref="N1:O1"/>
  </mergeCells>
  <dataValidations>
    <dataValidation type="list" allowBlank="1" showErrorMessage="1" sqref="P4:P52">
      <formula1>'7.Doanh thu'!$G$1:$R$1</formula1>
    </dataValidation>
    <dataValidation type="list" allowBlank="1" showErrorMessage="1" sqref="D4:D52">
      <formula1>'3.Khách hàng'!$A$3:$A$110</formula1>
    </dataValidation>
    <dataValidation type="list" allowBlank="1" showErrorMessage="1" sqref="C4:C52">
      <formula1>'1.Sản phẩm'!$D$3:$D$9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8.13"/>
    <col customWidth="1" min="2" max="2" width="8.0"/>
    <col customWidth="1" min="3" max="3" width="16.63"/>
    <col customWidth="1" min="4" max="4" width="8.13"/>
    <col customWidth="1" min="5" max="5" width="29.5"/>
    <col customWidth="1" min="6" max="6" width="29.63"/>
    <col customWidth="1" min="7" max="7" width="5.75"/>
    <col customWidth="1" min="8" max="9" width="15.0"/>
    <col customWidth="1" min="10" max="10" width="6.0"/>
    <col customWidth="1" min="11" max="11" width="12.5"/>
    <col customWidth="1" hidden="1" min="12" max="13" width="12.88"/>
    <col customWidth="1" hidden="1" min="14" max="14" width="36.0"/>
  </cols>
  <sheetData>
    <row r="1">
      <c r="A1" s="4" t="s">
        <v>2</v>
      </c>
      <c r="B1" s="2" t="s">
        <v>1</v>
      </c>
      <c r="C1" s="8" t="s">
        <v>6</v>
      </c>
      <c r="D1" s="2" t="s">
        <v>4</v>
      </c>
      <c r="E1" s="2" t="s">
        <v>5</v>
      </c>
      <c r="F1" s="2" t="s">
        <v>10</v>
      </c>
      <c r="G1" s="2" t="s">
        <v>11</v>
      </c>
      <c r="H1" s="10" t="s">
        <v>12</v>
      </c>
      <c r="I1" s="11" t="s">
        <v>13</v>
      </c>
      <c r="J1" s="15" t="s">
        <v>28</v>
      </c>
      <c r="K1" s="11" t="s">
        <v>32</v>
      </c>
      <c r="L1" s="10" t="s">
        <v>33</v>
      </c>
      <c r="M1" s="19" t="s">
        <v>34</v>
      </c>
      <c r="N1" s="2" t="s">
        <v>37</v>
      </c>
    </row>
    <row r="2">
      <c r="A2" s="24"/>
      <c r="B2" s="27"/>
      <c r="C2" s="31"/>
      <c r="D2" s="34"/>
      <c r="E2" s="38"/>
      <c r="F2" s="38" t="s">
        <v>29</v>
      </c>
      <c r="G2" s="27"/>
      <c r="H2" s="42">
        <f t="shared" ref="H2:I2" si="1">SUM(H3:H80)</f>
        <v>1212725415</v>
      </c>
      <c r="I2" s="45">
        <f t="shared" si="1"/>
        <v>1122893903</v>
      </c>
      <c r="J2" s="48"/>
      <c r="K2" s="45">
        <f t="shared" ref="K2:M2" si="2">SUM(K3:K80)</f>
        <v>89831512.22</v>
      </c>
      <c r="L2" s="42">
        <f t="shared" si="2"/>
        <v>1094226975</v>
      </c>
      <c r="M2" s="52">
        <f t="shared" si="2"/>
        <v>118498440</v>
      </c>
      <c r="N2" s="42"/>
    </row>
    <row r="3">
      <c r="A3" s="54">
        <v>46027.0</v>
      </c>
      <c r="B3" s="57" t="s">
        <v>49</v>
      </c>
      <c r="C3" s="35" t="str">
        <f>IF(B3="","",VLOOKUP($B3,'4.Đơn hàng'!$B:$N,2,0))</f>
        <v>NLP Master</v>
      </c>
      <c r="D3" s="20" t="str">
        <f>IF(C3="","",VLOOKUP($B3,'4.Đơn hàng'!$B:$E,3,0))</f>
        <v>KH13</v>
      </c>
      <c r="E3" s="61" t="str">
        <f>IF(D3="","",VLOOKUP($D3,'3.Khách hàng'!$A:$I,2,0))</f>
        <v>LỮ KIỀU ANH</v>
      </c>
      <c r="F3" s="62" t="s">
        <v>53</v>
      </c>
      <c r="G3" s="65">
        <v>1.0</v>
      </c>
      <c r="H3" s="68">
        <v>4.6986E7</v>
      </c>
      <c r="I3" s="70">
        <f t="shared" ref="I3:I80" si="3">H3/(1+J3)</f>
        <v>43505555.56</v>
      </c>
      <c r="J3" s="71">
        <v>0.08</v>
      </c>
      <c r="K3" s="70">
        <f t="shared" ref="K3:K80" si="4">J3*I3</f>
        <v>3480444.444</v>
      </c>
      <c r="L3" s="68">
        <v>4.6986E7</v>
      </c>
      <c r="M3" s="74">
        <f t="shared" ref="M3:M80" si="5">H3-L3</f>
        <v>0</v>
      </c>
      <c r="N3" s="77"/>
    </row>
    <row r="4">
      <c r="A4" s="54">
        <v>46028.0</v>
      </c>
      <c r="B4" s="57" t="s">
        <v>54</v>
      </c>
      <c r="C4" s="35" t="str">
        <f>IF(B4="","",VLOOKUP($B4,'4.Đơn hàng'!$B:$N,2,0))</f>
        <v>NLP Master</v>
      </c>
      <c r="D4" s="20" t="str">
        <f>IF(C4="","",VLOOKUP($B4,'4.Đơn hàng'!$B:$E,3,0))</f>
        <v>KH14</v>
      </c>
      <c r="E4" s="61" t="str">
        <f>IF(D4="","",VLOOKUP($D4,'3.Khách hàng'!$A:$I,2,0))</f>
        <v>LÊ THỊ BÍCH NGA</v>
      </c>
      <c r="F4" s="62" t="s">
        <v>53</v>
      </c>
      <c r="G4" s="65">
        <v>2.0</v>
      </c>
      <c r="H4" s="68">
        <v>4.6986E7</v>
      </c>
      <c r="I4" s="70">
        <f t="shared" si="3"/>
        <v>43505555.56</v>
      </c>
      <c r="J4" s="71">
        <v>0.08</v>
      </c>
      <c r="K4" s="70">
        <f t="shared" si="4"/>
        <v>3480444.444</v>
      </c>
      <c r="L4" s="68">
        <v>4.6986E7</v>
      </c>
      <c r="M4" s="74">
        <f t="shared" si="5"/>
        <v>0</v>
      </c>
      <c r="N4" s="77"/>
    </row>
    <row r="5">
      <c r="A5" s="54">
        <v>46041.0</v>
      </c>
      <c r="B5" s="57" t="s">
        <v>55</v>
      </c>
      <c r="C5" s="35" t="str">
        <f>IF(B5="","",VLOOKUP($B5,'4.Đơn hàng'!$B:$N,2,0))</f>
        <v>Business in the Box</v>
      </c>
      <c r="D5" s="20" t="str">
        <f>IF(C5="","",VLOOKUP($B5,'4.Đơn hàng'!$B:$E,3,0))</f>
        <v>KH15</v>
      </c>
      <c r="E5" s="61" t="str">
        <f>IF(D5="","",VLOOKUP($D5,'3.Khách hàng'!$A:$I,2,0))</f>
        <v>NGUYỄN THỊ YẾN</v>
      </c>
      <c r="F5" s="62" t="s">
        <v>56</v>
      </c>
      <c r="G5" s="65">
        <v>3.0</v>
      </c>
      <c r="H5" s="68">
        <v>8.1363391E7</v>
      </c>
      <c r="I5" s="70">
        <f t="shared" si="3"/>
        <v>75336473.15</v>
      </c>
      <c r="J5" s="71">
        <v>0.08</v>
      </c>
      <c r="K5" s="70">
        <f t="shared" si="4"/>
        <v>6026917.852</v>
      </c>
      <c r="L5" s="68">
        <v>8.1363391E7</v>
      </c>
      <c r="M5" s="74">
        <f t="shared" si="5"/>
        <v>0</v>
      </c>
      <c r="N5" s="77"/>
    </row>
    <row r="6">
      <c r="A6" s="54">
        <v>46041.0</v>
      </c>
      <c r="B6" s="57" t="s">
        <v>57</v>
      </c>
      <c r="C6" s="35" t="str">
        <f>IF(B6="","",VLOOKUP($B6,'4.Đơn hàng'!$B:$N,2,0))</f>
        <v>Business in the Box</v>
      </c>
      <c r="D6" s="20" t="str">
        <f>IF(C6="","",VLOOKUP($B6,'4.Đơn hàng'!$B:$E,3,0))</f>
        <v>KH16</v>
      </c>
      <c r="E6" s="61" t="str">
        <f>IF(D6="","",VLOOKUP($D6,'3.Khách hàng'!$A:$I,2,0))</f>
        <v>CÔNG TY TNHH TINH KHÍ VIỆT</v>
      </c>
      <c r="F6" s="62" t="s">
        <v>56</v>
      </c>
      <c r="G6" s="65">
        <v>4.0</v>
      </c>
      <c r="H6" s="68">
        <v>8.1363391E7</v>
      </c>
      <c r="I6" s="70">
        <f t="shared" si="3"/>
        <v>75336473.15</v>
      </c>
      <c r="J6" s="71">
        <v>0.08</v>
      </c>
      <c r="K6" s="70">
        <f t="shared" si="4"/>
        <v>6026917.852</v>
      </c>
      <c r="L6" s="68">
        <v>8.1363391E7</v>
      </c>
      <c r="M6" s="74">
        <f t="shared" si="5"/>
        <v>0</v>
      </c>
      <c r="N6" s="77"/>
    </row>
    <row r="7">
      <c r="A7" s="54">
        <v>46051.0</v>
      </c>
      <c r="B7" s="57" t="s">
        <v>58</v>
      </c>
      <c r="C7" s="35" t="str">
        <f>IF(B7="","",VLOOKUP($B7,'4.Đơn hàng'!$B:$N,2,0))</f>
        <v>Lãnh đạo chuyển hóa</v>
      </c>
      <c r="D7" s="20" t="str">
        <f>IF(C7="","",VLOOKUP($B7,'4.Đơn hàng'!$B:$E,3,0))</f>
        <v>KH17</v>
      </c>
      <c r="E7" s="61" t="str">
        <f>IF(D7="","",VLOOKUP($D7,'3.Khách hàng'!$A:$I,2,0))</f>
        <v>CÔNG TY TNHH PAPASAN VIỆT NAM</v>
      </c>
      <c r="F7" s="62" t="s">
        <v>59</v>
      </c>
      <c r="G7" s="65">
        <v>5.0</v>
      </c>
      <c r="H7" s="68">
        <v>1774801.0</v>
      </c>
      <c r="I7" s="70">
        <f t="shared" si="3"/>
        <v>1643334.259</v>
      </c>
      <c r="J7" s="71">
        <v>0.08</v>
      </c>
      <c r="K7" s="70">
        <f t="shared" si="4"/>
        <v>131466.7407</v>
      </c>
      <c r="L7" s="68">
        <v>1774801.0</v>
      </c>
      <c r="M7" s="74">
        <f t="shared" si="5"/>
        <v>0</v>
      </c>
      <c r="N7" s="77"/>
    </row>
    <row r="8">
      <c r="A8" s="54">
        <v>46051.0</v>
      </c>
      <c r="B8" s="57" t="s">
        <v>60</v>
      </c>
      <c r="C8" s="35" t="str">
        <f>IF(B8="","",VLOOKUP($B8,'4.Đơn hàng'!$B:$N,2,0))</f>
        <v>Lãnh đạo chuyển hóa</v>
      </c>
      <c r="D8" s="20" t="str">
        <f>IF(C8="","",VLOOKUP($B8,'4.Đơn hàng'!$B:$E,3,0))</f>
        <v>KH18</v>
      </c>
      <c r="E8" s="61" t="str">
        <f>IF(D8="","",VLOOKUP($D8,'3.Khách hàng'!$A:$I,2,0))</f>
        <v>Khách lẻ (Nguyễn Thị Thắm, Nguyễn Thu Huyền)</v>
      </c>
      <c r="F8" s="62" t="s">
        <v>59</v>
      </c>
      <c r="G8" s="65">
        <v>6.0</v>
      </c>
      <c r="H8" s="68">
        <v>1972000.0</v>
      </c>
      <c r="I8" s="70">
        <f t="shared" si="3"/>
        <v>1825925.926</v>
      </c>
      <c r="J8" s="71">
        <v>0.08</v>
      </c>
      <c r="K8" s="70">
        <f t="shared" si="4"/>
        <v>146074.0741</v>
      </c>
      <c r="L8" s="68">
        <v>1972000.0</v>
      </c>
      <c r="M8" s="74">
        <f t="shared" si="5"/>
        <v>0</v>
      </c>
      <c r="N8" s="77"/>
    </row>
    <row r="9">
      <c r="A9" s="54">
        <v>46051.0</v>
      </c>
      <c r="B9" s="57" t="s">
        <v>62</v>
      </c>
      <c r="C9" s="35" t="str">
        <f>IF(B9="","",VLOOKUP($B9,'4.Đơn hàng'!$B:$N,2,0))</f>
        <v>Lãnh đạo chuyển hóa</v>
      </c>
      <c r="D9" s="20" t="str">
        <f>IF(C9="","",VLOOKUP($B9,'4.Đơn hàng'!$B:$E,3,0))</f>
        <v>KH19</v>
      </c>
      <c r="E9" s="61" t="str">
        <f>IF(D9="","",VLOOKUP($D9,'3.Khách hàng'!$A:$I,2,0))</f>
        <v>LÊ NGỌC LINH</v>
      </c>
      <c r="F9" s="62" t="s">
        <v>59</v>
      </c>
      <c r="G9" s="65">
        <v>7.0</v>
      </c>
      <c r="H9" s="68">
        <v>1972000.0</v>
      </c>
      <c r="I9" s="70">
        <f t="shared" si="3"/>
        <v>1825925.926</v>
      </c>
      <c r="J9" s="71">
        <v>0.08</v>
      </c>
      <c r="K9" s="70">
        <f t="shared" si="4"/>
        <v>146074.0741</v>
      </c>
      <c r="L9" s="68">
        <v>1972000.0</v>
      </c>
      <c r="M9" s="74">
        <f t="shared" si="5"/>
        <v>0</v>
      </c>
      <c r="N9" s="77"/>
    </row>
    <row r="10">
      <c r="A10" s="54">
        <v>46136.0</v>
      </c>
      <c r="B10" s="57" t="s">
        <v>64</v>
      </c>
      <c r="C10" s="35" t="str">
        <f>IF(B10="","",VLOOKUP($B10,'4.Đơn hàng'!$B:$N,2,0))</f>
        <v>Train The Trainer</v>
      </c>
      <c r="D10" s="20" t="str">
        <f>IF(C10="","",VLOOKUP($B10,'4.Đơn hàng'!$B:$E,3,0))</f>
        <v>KH20</v>
      </c>
      <c r="E10" s="61" t="str">
        <f>IF(D10="","",VLOOKUP($D10,'3.Khách hàng'!$A:$I,2,0))</f>
        <v>PHẠM TRẦN HẢI</v>
      </c>
      <c r="F10" s="62" t="s">
        <v>65</v>
      </c>
      <c r="G10" s="65">
        <v>8.0</v>
      </c>
      <c r="H10" s="68">
        <v>1.20986E8</v>
      </c>
      <c r="I10" s="70">
        <f t="shared" si="3"/>
        <v>112024074.1</v>
      </c>
      <c r="J10" s="71">
        <v>0.08</v>
      </c>
      <c r="K10" s="70">
        <f t="shared" si="4"/>
        <v>8961925.926</v>
      </c>
      <c r="L10" s="68">
        <v>1.20986E8</v>
      </c>
      <c r="M10" s="74">
        <f t="shared" si="5"/>
        <v>0</v>
      </c>
      <c r="N10" s="77"/>
    </row>
    <row r="11">
      <c r="A11" s="89">
        <v>46063.0</v>
      </c>
      <c r="B11" s="57" t="s">
        <v>76</v>
      </c>
      <c r="C11" s="35" t="str">
        <f>IF(B11="","",VLOOKUP($B11,'4.Đơn hàng'!$B:$N,2,0))</f>
        <v>Train The Trainer</v>
      </c>
      <c r="D11" s="20" t="str">
        <f>IF(C11="","",VLOOKUP($B11,'4.Đơn hàng'!$B:$E,3,0))</f>
        <v>KH01</v>
      </c>
      <c r="E11" s="61" t="str">
        <f>IF(D11="","",VLOOKUP($D11,'3.Khách hàng'!$A:$I,2,0))</f>
        <v>MAI THUY PHUONG</v>
      </c>
      <c r="F11" s="91" t="s">
        <v>80</v>
      </c>
      <c r="G11" s="92">
        <v>14.0</v>
      </c>
      <c r="H11" s="94">
        <v>5000000.0</v>
      </c>
      <c r="I11" s="70">
        <f t="shared" si="3"/>
        <v>4629629.63</v>
      </c>
      <c r="J11" s="71">
        <v>0.08</v>
      </c>
      <c r="K11" s="70">
        <f t="shared" si="4"/>
        <v>370370.3704</v>
      </c>
      <c r="L11" s="81"/>
      <c r="M11" s="74">
        <f t="shared" si="5"/>
        <v>5000000</v>
      </c>
      <c r="N11" s="97" t="s">
        <v>84</v>
      </c>
    </row>
    <row r="12">
      <c r="A12" s="89">
        <v>46111.0</v>
      </c>
      <c r="B12" s="57" t="s">
        <v>86</v>
      </c>
      <c r="C12" s="35" t="str">
        <f>IF(B12="","",VLOOKUP($B12,'4.Đơn hàng'!$B:$N,2,0))</f>
        <v>Lãnh đạo chuyển hóa</v>
      </c>
      <c r="D12" s="20" t="str">
        <f>IF(C12="","",VLOOKUP($B12,'4.Đơn hàng'!$B:$E,3,0))</f>
        <v>KH02</v>
      </c>
      <c r="E12" s="61" t="str">
        <f>IF(D12="","",VLOOKUP($D12,'3.Khách hàng'!$A:$I,2,0))</f>
        <v>PHAN THI NGOC</v>
      </c>
      <c r="F12" s="91" t="s">
        <v>89</v>
      </c>
      <c r="G12" s="99"/>
      <c r="H12" s="94">
        <v>986000.0</v>
      </c>
      <c r="I12" s="70">
        <f t="shared" si="3"/>
        <v>912962.963</v>
      </c>
      <c r="J12" s="71">
        <v>0.08</v>
      </c>
      <c r="K12" s="70">
        <f t="shared" si="4"/>
        <v>73037.03704</v>
      </c>
      <c r="L12" s="81"/>
      <c r="M12" s="74">
        <f t="shared" si="5"/>
        <v>986000</v>
      </c>
      <c r="N12" s="97" t="s">
        <v>90</v>
      </c>
    </row>
    <row r="13">
      <c r="A13" s="89">
        <v>46142.0</v>
      </c>
      <c r="B13" s="57" t="s">
        <v>91</v>
      </c>
      <c r="C13" s="35" t="str">
        <f>IF(B13="","",VLOOKUP($B13,'4.Đơn hàng'!$B:$N,2,0))</f>
        <v>Lãnh đạo chuyển hóa</v>
      </c>
      <c r="D13" s="20" t="str">
        <f>IF(C13="","",VLOOKUP($B13,'4.Đơn hàng'!$B:$E,3,0))</f>
        <v>KH03</v>
      </c>
      <c r="E13" s="61" t="str">
        <f>IF(D13="","",VLOOKUP($D13,'3.Khách hàng'!$A:$I,2,0))</f>
        <v>PHAM THI BICH HUONG</v>
      </c>
      <c r="F13" s="91" t="s">
        <v>94</v>
      </c>
      <c r="G13" s="99"/>
      <c r="H13" s="94">
        <v>199000.0</v>
      </c>
      <c r="I13" s="70">
        <f t="shared" si="3"/>
        <v>184259.2593</v>
      </c>
      <c r="J13" s="71">
        <v>0.08</v>
      </c>
      <c r="K13" s="70">
        <f t="shared" si="4"/>
        <v>14740.74074</v>
      </c>
      <c r="L13" s="81"/>
      <c r="M13" s="74">
        <f t="shared" si="5"/>
        <v>199000</v>
      </c>
      <c r="N13" s="101" t="s">
        <v>95</v>
      </c>
    </row>
    <row r="14">
      <c r="A14" s="89">
        <v>46142.0</v>
      </c>
      <c r="B14" s="57" t="s">
        <v>96</v>
      </c>
      <c r="C14" s="35" t="str">
        <f>IF(B14="","",VLOOKUP($B14,'4.Đơn hàng'!$B:$N,2,0))</f>
        <v>Lãnh đạo chuyển hóa</v>
      </c>
      <c r="D14" s="20" t="str">
        <f>IF(C14="","",VLOOKUP($B14,'4.Đơn hàng'!$B:$E,3,0))</f>
        <v>KH04</v>
      </c>
      <c r="E14" s="61" t="str">
        <f>IF(D14="","",VLOOKUP($D14,'3.Khách hàng'!$A:$I,2,0))</f>
        <v>NGUYEN THI THU HUONG</v>
      </c>
      <c r="F14" s="91" t="s">
        <v>99</v>
      </c>
      <c r="G14" s="99"/>
      <c r="H14" s="94">
        <v>400000.0</v>
      </c>
      <c r="I14" s="70">
        <f t="shared" si="3"/>
        <v>370370.3704</v>
      </c>
      <c r="J14" s="71">
        <v>0.08</v>
      </c>
      <c r="K14" s="70">
        <f t="shared" si="4"/>
        <v>29629.62963</v>
      </c>
      <c r="L14" s="81"/>
      <c r="M14" s="74">
        <f t="shared" si="5"/>
        <v>400000</v>
      </c>
      <c r="N14" s="101" t="s">
        <v>95</v>
      </c>
    </row>
    <row r="15">
      <c r="A15" s="103">
        <v>46126.0</v>
      </c>
      <c r="B15" s="57" t="s">
        <v>66</v>
      </c>
      <c r="C15" s="35" t="str">
        <f>IF(B15="","",VLOOKUP($B15,'4.Đơn hàng'!$B:$N,2,0))</f>
        <v>Lãnh đạo chuyển hóa</v>
      </c>
      <c r="D15" s="20" t="str">
        <f>IF(C15="","",VLOOKUP($B15,'4.Đơn hàng'!$B:$E,3,0))</f>
        <v>KH07</v>
      </c>
      <c r="E15" s="61" t="str">
        <f>IF(D15="","",VLOOKUP($D15,'3.Khách hàng'!$A:$I,2,0))</f>
        <v>DAM THI PHUONG THAO</v>
      </c>
      <c r="F15" s="105" t="s">
        <v>103</v>
      </c>
      <c r="G15" s="99"/>
      <c r="H15" s="106">
        <v>597000.0</v>
      </c>
      <c r="I15" s="70">
        <f t="shared" si="3"/>
        <v>552777.7778</v>
      </c>
      <c r="J15" s="71">
        <v>0.08</v>
      </c>
      <c r="K15" s="70">
        <f t="shared" si="4"/>
        <v>44222.22222</v>
      </c>
      <c r="L15" s="81"/>
      <c r="M15" s="74">
        <f t="shared" si="5"/>
        <v>597000</v>
      </c>
      <c r="N15" s="101" t="s">
        <v>95</v>
      </c>
    </row>
    <row r="16">
      <c r="A16" s="103">
        <v>46121.0</v>
      </c>
      <c r="B16" s="57" t="s">
        <v>104</v>
      </c>
      <c r="C16" s="35" t="str">
        <f>IF(B16="","",VLOOKUP($B16,'4.Đơn hàng'!$B:$N,2,0))</f>
        <v>NLP Practitioner</v>
      </c>
      <c r="D16" s="20" t="str">
        <f>IF(C16="","",VLOOKUP($B16,'4.Đơn hàng'!$B:$E,3,0))</f>
        <v>KH06</v>
      </c>
      <c r="E16" s="61" t="str">
        <f>IF(D16="","",VLOOKUP($D16,'3.Khách hàng'!$A:$I,2,0))</f>
        <v>DANG THANH TRA MY</v>
      </c>
      <c r="F16" s="105" t="s">
        <v>107</v>
      </c>
      <c r="G16" s="99"/>
      <c r="H16" s="106">
        <v>2.32874E7</v>
      </c>
      <c r="I16" s="70">
        <f t="shared" si="3"/>
        <v>21562407.41</v>
      </c>
      <c r="J16" s="71">
        <v>0.08</v>
      </c>
      <c r="K16" s="70">
        <f t="shared" si="4"/>
        <v>1724992.593</v>
      </c>
      <c r="L16" s="81"/>
      <c r="M16" s="74">
        <f t="shared" si="5"/>
        <v>23287400</v>
      </c>
      <c r="N16" s="105" t="s">
        <v>108</v>
      </c>
    </row>
    <row r="17">
      <c r="A17" s="89">
        <v>46150.0</v>
      </c>
      <c r="B17" s="57" t="s">
        <v>66</v>
      </c>
      <c r="C17" s="35" t="str">
        <f>IF(B17="","",VLOOKUP($B17,'4.Đơn hàng'!$B:$N,2,0))</f>
        <v>Lãnh đạo chuyển hóa</v>
      </c>
      <c r="D17" s="20" t="str">
        <f>IF(C17="","",VLOOKUP($B17,'4.Đơn hàng'!$B:$E,3,0))</f>
        <v>KH07</v>
      </c>
      <c r="E17" s="61" t="str">
        <f>IF(D17="","",VLOOKUP($D17,'3.Khách hàng'!$A:$I,2,0))</f>
        <v>DAM THI PHUONG THAO</v>
      </c>
      <c r="F17" s="91" t="s">
        <v>109</v>
      </c>
      <c r="G17" s="99"/>
      <c r="H17" s="94">
        <v>200000.0</v>
      </c>
      <c r="I17" s="70">
        <f t="shared" si="3"/>
        <v>185185.1852</v>
      </c>
      <c r="J17" s="71">
        <v>0.08</v>
      </c>
      <c r="K17" s="70">
        <f t="shared" si="4"/>
        <v>14814.81481</v>
      </c>
      <c r="L17" s="81"/>
      <c r="M17" s="74">
        <f t="shared" si="5"/>
        <v>200000</v>
      </c>
      <c r="N17" s="101" t="s">
        <v>95</v>
      </c>
    </row>
    <row r="18">
      <c r="A18" s="89">
        <v>46150.0</v>
      </c>
      <c r="B18" s="57" t="s">
        <v>110</v>
      </c>
      <c r="C18" s="35" t="str">
        <f>IF(B18="","",VLOOKUP($B18,'4.Đơn hàng'!$B:$N,2,0))</f>
        <v>Lãnh đạo chuyển hóa</v>
      </c>
      <c r="D18" s="20" t="str">
        <f>IF(C18="","",VLOOKUP($B18,'4.Đơn hàng'!$B:$E,3,0))</f>
        <v>KH08</v>
      </c>
      <c r="E18" s="61" t="str">
        <f>IF(D18="","",VLOOKUP($D18,'3.Khách hàng'!$A:$I,2,0))</f>
        <v>TRAN QUANG NGHIEP</v>
      </c>
      <c r="F18" s="91" t="s">
        <v>111</v>
      </c>
      <c r="G18" s="99"/>
      <c r="H18" s="94">
        <v>400000.0</v>
      </c>
      <c r="I18" s="70">
        <f t="shared" si="3"/>
        <v>370370.3704</v>
      </c>
      <c r="J18" s="71">
        <v>0.08</v>
      </c>
      <c r="K18" s="70">
        <f t="shared" si="4"/>
        <v>29629.62963</v>
      </c>
      <c r="L18" s="81"/>
      <c r="M18" s="74">
        <f t="shared" si="5"/>
        <v>400000</v>
      </c>
      <c r="N18" s="101" t="s">
        <v>95</v>
      </c>
    </row>
    <row r="19">
      <c r="A19" s="89">
        <v>46148.0</v>
      </c>
      <c r="B19" s="57" t="s">
        <v>114</v>
      </c>
      <c r="C19" s="35" t="str">
        <f>IF(B19="","",VLOOKUP($B19,'4.Đơn hàng'!$B:$N,2,0))</f>
        <v>Lãnh đạo chuyển hóa</v>
      </c>
      <c r="D19" s="20" t="str">
        <f>IF(C19="","",VLOOKUP($B19,'4.Đơn hàng'!$B:$E,3,0))</f>
        <v>KH09</v>
      </c>
      <c r="E19" s="61" t="str">
        <f>IF(D19="","",VLOOKUP($D19,'3.Khách hàng'!$A:$I,2,0))</f>
        <v>MAI THỊ THANH QUY</v>
      </c>
      <c r="F19" s="91" t="s">
        <v>115</v>
      </c>
      <c r="G19" s="99"/>
      <c r="H19" s="94">
        <v>199000.0</v>
      </c>
      <c r="I19" s="70">
        <f t="shared" si="3"/>
        <v>184259.2593</v>
      </c>
      <c r="J19" s="71">
        <v>0.08</v>
      </c>
      <c r="K19" s="70">
        <f t="shared" si="4"/>
        <v>14740.74074</v>
      </c>
      <c r="L19" s="81"/>
      <c r="M19" s="74">
        <f t="shared" si="5"/>
        <v>199000</v>
      </c>
      <c r="N19" s="101" t="s">
        <v>95</v>
      </c>
    </row>
    <row r="20">
      <c r="A20" s="89">
        <v>46147.0</v>
      </c>
      <c r="B20" s="57" t="s">
        <v>116</v>
      </c>
      <c r="C20" s="35" t="str">
        <f>IF(B20="","",VLOOKUP($B20,'4.Đơn hàng'!$B:$N,2,0))</f>
        <v>Lãnh đạo chuyển hóa</v>
      </c>
      <c r="D20" s="20" t="str">
        <f>IF(C20="","",VLOOKUP($B20,'4.Đơn hàng'!$B:$E,3,0))</f>
        <v>KH10</v>
      </c>
      <c r="E20" s="61" t="str">
        <f>IF(D20="","",VLOOKUP($D20,'3.Khách hàng'!$A:$I,2,0))</f>
        <v>PHAM XUAN THUY</v>
      </c>
      <c r="F20" s="91" t="s">
        <v>103</v>
      </c>
      <c r="G20" s="99"/>
      <c r="H20" s="94">
        <v>199000.0</v>
      </c>
      <c r="I20" s="70">
        <f t="shared" si="3"/>
        <v>184259.2593</v>
      </c>
      <c r="J20" s="71">
        <v>0.08</v>
      </c>
      <c r="K20" s="70">
        <f t="shared" si="4"/>
        <v>14740.74074</v>
      </c>
      <c r="L20" s="81"/>
      <c r="M20" s="74">
        <f t="shared" si="5"/>
        <v>199000</v>
      </c>
      <c r="N20" s="101" t="s">
        <v>95</v>
      </c>
    </row>
    <row r="21">
      <c r="A21" s="89">
        <v>46147.0</v>
      </c>
      <c r="B21" s="57" t="s">
        <v>119</v>
      </c>
      <c r="C21" s="35" t="str">
        <f>IF(B21="","",VLOOKUP($B21,'4.Đơn hàng'!$B:$N,2,0))</f>
        <v>Lãnh đạo chuyển hóa</v>
      </c>
      <c r="D21" s="20" t="str">
        <f>IF(C21="","",VLOOKUP($B21,'4.Đơn hàng'!$B:$E,3,0))</f>
        <v>KH11</v>
      </c>
      <c r="E21" s="61" t="str">
        <f>IF(D21="","",VLOOKUP($D21,'3.Khách hàng'!$A:$I,2,0))</f>
        <v>NGUYEN TRUNG CHIEN</v>
      </c>
      <c r="F21" s="91" t="s">
        <v>120</v>
      </c>
      <c r="G21" s="99"/>
      <c r="H21" s="94">
        <v>199000.0</v>
      </c>
      <c r="I21" s="70">
        <f t="shared" si="3"/>
        <v>184259.2593</v>
      </c>
      <c r="J21" s="71">
        <v>0.08</v>
      </c>
      <c r="K21" s="70">
        <f t="shared" si="4"/>
        <v>14740.74074</v>
      </c>
      <c r="L21" s="81"/>
      <c r="M21" s="74">
        <f t="shared" si="5"/>
        <v>199000</v>
      </c>
      <c r="N21" s="101" t="s">
        <v>95</v>
      </c>
    </row>
    <row r="22">
      <c r="A22" s="89">
        <v>46146.0</v>
      </c>
      <c r="B22" s="57" t="s">
        <v>121</v>
      </c>
      <c r="C22" s="35" t="str">
        <f>IF(B22="","",VLOOKUP($B22,'4.Đơn hàng'!$B:$N,2,0))</f>
        <v>Lãnh đạo chuyển hóa</v>
      </c>
      <c r="D22" s="20" t="str">
        <f>IF(C22="","",VLOOKUP($B22,'4.Đơn hàng'!$B:$E,3,0))</f>
        <v>KH12</v>
      </c>
      <c r="E22" s="61" t="str">
        <f>IF(D22="","",VLOOKUP($D22,'3.Khách hàng'!$A:$I,2,0))</f>
        <v>VU DINH HOANG ANH</v>
      </c>
      <c r="F22" s="91" t="s">
        <v>123</v>
      </c>
      <c r="G22" s="99"/>
      <c r="H22" s="94">
        <v>199000.0</v>
      </c>
      <c r="I22" s="70">
        <f t="shared" si="3"/>
        <v>184259.2593</v>
      </c>
      <c r="J22" s="71">
        <v>0.08</v>
      </c>
      <c r="K22" s="70">
        <f t="shared" si="4"/>
        <v>14740.74074</v>
      </c>
      <c r="L22" s="81"/>
      <c r="M22" s="74">
        <f t="shared" si="5"/>
        <v>199000</v>
      </c>
      <c r="N22" s="101" t="s">
        <v>95</v>
      </c>
    </row>
    <row r="23">
      <c r="A23" s="54">
        <v>46155.0</v>
      </c>
      <c r="B23" s="57" t="s">
        <v>124</v>
      </c>
      <c r="C23" s="35" t="str">
        <f>IF(B23="","",VLOOKUP($B23,'4.Đơn hàng'!$B:$N,2,0))</f>
        <v>Lãnh đạo chuyển hóa</v>
      </c>
      <c r="D23" s="20" t="str">
        <f>IF(C23="","",VLOOKUP($B23,'4.Đơn hàng'!$B:$E,3,0))</f>
        <v>KH21</v>
      </c>
      <c r="E23" s="61" t="str">
        <f>IF(D23="","",VLOOKUP($D23,'3.Khách hàng'!$A:$I,2,0))</f>
        <v>CÔNG TY TNHH DỊCH VỤ VÀ THƯƠNG MẠI MSC</v>
      </c>
      <c r="F23" s="62" t="s">
        <v>67</v>
      </c>
      <c r="G23" s="65">
        <v>9.0</v>
      </c>
      <c r="H23" s="68">
        <v>597000.0</v>
      </c>
      <c r="I23" s="70">
        <f t="shared" si="3"/>
        <v>552777.7778</v>
      </c>
      <c r="J23" s="71">
        <v>0.08</v>
      </c>
      <c r="K23" s="70">
        <f t="shared" si="4"/>
        <v>44222.22222</v>
      </c>
      <c r="L23" s="68">
        <v>597000.0</v>
      </c>
      <c r="M23" s="74">
        <f t="shared" si="5"/>
        <v>0</v>
      </c>
      <c r="N23" s="77"/>
    </row>
    <row r="24">
      <c r="A24" s="54">
        <v>46156.0</v>
      </c>
      <c r="B24" s="57" t="s">
        <v>125</v>
      </c>
      <c r="C24" s="35" t="str">
        <f>IF(B24="","",VLOOKUP($B24,'4.Đơn hàng'!$B:$N,2,0))</f>
        <v>NLP Practitioner</v>
      </c>
      <c r="D24" s="20" t="str">
        <f>IF(C24="","",VLOOKUP($B24,'4.Đơn hàng'!$B:$E,3,0))</f>
        <v>KH22</v>
      </c>
      <c r="E24" s="61" t="str">
        <f>IF(D24="","",VLOOKUP($D24,'3.Khách hàng'!$A:$I,2,0))</f>
        <v>NGUYỄN THỊ HIÊN</v>
      </c>
      <c r="F24" s="62" t="s">
        <v>69</v>
      </c>
      <c r="G24" s="65">
        <v>10.0</v>
      </c>
      <c r="H24" s="68">
        <v>3.5087E7</v>
      </c>
      <c r="I24" s="70">
        <f t="shared" si="3"/>
        <v>32487962.96</v>
      </c>
      <c r="J24" s="71">
        <v>0.08</v>
      </c>
      <c r="K24" s="70">
        <f t="shared" si="4"/>
        <v>2599037.037</v>
      </c>
      <c r="L24" s="68">
        <v>3.5087E7</v>
      </c>
      <c r="M24" s="74">
        <f t="shared" si="5"/>
        <v>0</v>
      </c>
      <c r="N24" s="77"/>
    </row>
    <row r="25">
      <c r="A25" s="54">
        <v>46156.0</v>
      </c>
      <c r="B25" s="57" t="s">
        <v>70</v>
      </c>
      <c r="C25" s="35" t="str">
        <f>IF(B25="","",VLOOKUP($B25,'4.Đơn hàng'!$B:$N,2,0))</f>
        <v>NLP Master</v>
      </c>
      <c r="D25" s="20" t="str">
        <f>IF(C25="","",VLOOKUP($B25,'4.Đơn hàng'!$B:$E,3,0))</f>
        <v>KH27</v>
      </c>
      <c r="E25" s="61" t="str">
        <f>IF(D25="","",VLOOKUP($D25,'3.Khách hàng'!$A:$I,2,0))</f>
        <v>CÔNG TY TNHH JEJU SKIN VIỆT NAM</v>
      </c>
      <c r="F25" s="62" t="s">
        <v>71</v>
      </c>
      <c r="G25" s="65">
        <v>11.0</v>
      </c>
      <c r="H25" s="68">
        <v>2.5E7</v>
      </c>
      <c r="I25" s="70">
        <f t="shared" si="3"/>
        <v>23148148.15</v>
      </c>
      <c r="J25" s="71">
        <v>0.08</v>
      </c>
      <c r="K25" s="70">
        <f t="shared" si="4"/>
        <v>1851851.852</v>
      </c>
      <c r="L25" s="68">
        <v>2.5E7</v>
      </c>
      <c r="M25" s="74">
        <f t="shared" si="5"/>
        <v>0</v>
      </c>
      <c r="N25" s="77"/>
    </row>
    <row r="26">
      <c r="A26" s="54">
        <v>46160.0</v>
      </c>
      <c r="B26" s="57" t="s">
        <v>72</v>
      </c>
      <c r="C26" s="35" t="str">
        <f>IF(B26="","",VLOOKUP($B26,'4.Đơn hàng'!$B:$N,2,0))</f>
        <v>NLP Practitioner</v>
      </c>
      <c r="D26" s="20" t="str">
        <f>IF(C26="","",VLOOKUP($B26,'4.Đơn hàng'!$B:$E,3,0))</f>
        <v>KH27</v>
      </c>
      <c r="E26" s="61" t="str">
        <f>IF(D26="","",VLOOKUP($D26,'3.Khách hàng'!$A:$I,2,0))</f>
        <v>CÔNG TY TNHH JEJU SKIN VIỆT NAM</v>
      </c>
      <c r="F26" s="62" t="s">
        <v>73</v>
      </c>
      <c r="G26" s="65">
        <v>12.0</v>
      </c>
      <c r="H26" s="68">
        <v>3.32874E7</v>
      </c>
      <c r="I26" s="70">
        <f t="shared" si="3"/>
        <v>30821666.67</v>
      </c>
      <c r="J26" s="71">
        <v>0.08</v>
      </c>
      <c r="K26" s="70">
        <f t="shared" si="4"/>
        <v>2465733.333</v>
      </c>
      <c r="L26" s="68">
        <v>3.32874E7</v>
      </c>
      <c r="M26" s="74">
        <f t="shared" si="5"/>
        <v>0</v>
      </c>
      <c r="N26" s="77"/>
    </row>
    <row r="27">
      <c r="A27" s="54">
        <v>46160.0</v>
      </c>
      <c r="B27" s="57" t="s">
        <v>75</v>
      </c>
      <c r="C27" s="35" t="str">
        <f>IF(B27="","",VLOOKUP($B27,'4.Đơn hàng'!$B:$N,2,0))</f>
        <v>NLP Practitioner</v>
      </c>
      <c r="D27" s="20" t="str">
        <f>IF(C27="","",VLOOKUP($B27,'4.Đơn hàng'!$B:$E,3,0))</f>
        <v>KH24</v>
      </c>
      <c r="E27" s="61" t="str">
        <f>IF(D27="","",VLOOKUP($D27,'3.Khách hàng'!$A:$I,2,0))</f>
        <v>CÔNG TY CỔ PHẦN DỊCH VỤ TÀI CHÍNH MINH TRÍ</v>
      </c>
      <c r="F27" s="62" t="s">
        <v>69</v>
      </c>
      <c r="G27" s="65">
        <v>13.0</v>
      </c>
      <c r="H27" s="68">
        <v>3.6986E7</v>
      </c>
      <c r="I27" s="70">
        <f t="shared" si="3"/>
        <v>34246296.3</v>
      </c>
      <c r="J27" s="71">
        <v>0.08</v>
      </c>
      <c r="K27" s="70">
        <f t="shared" si="4"/>
        <v>2739703.704</v>
      </c>
      <c r="L27" s="68">
        <v>3.6986E7</v>
      </c>
      <c r="M27" s="74">
        <f t="shared" si="5"/>
        <v>0</v>
      </c>
      <c r="N27" s="77"/>
    </row>
    <row r="28">
      <c r="A28" s="108">
        <v>46167.0</v>
      </c>
      <c r="B28" s="57" t="s">
        <v>79</v>
      </c>
      <c r="C28" s="35" t="str">
        <f>IF(B28="","",VLOOKUP($B28,'4.Đơn hàng'!$B:$N,2,0))</f>
        <v>NLP Practitioner</v>
      </c>
      <c r="D28" s="20" t="str">
        <f>IF(C28="","",VLOOKUP($B28,'4.Đơn hàng'!$B:$E,3,0))</f>
        <v>KH25</v>
      </c>
      <c r="E28" s="61" t="str">
        <f>IF(D28="","",VLOOKUP($D28,'3.Khách hàng'!$A:$I,2,0))</f>
        <v>NGUYỄN NGỌC HÀ</v>
      </c>
      <c r="F28" s="62" t="s">
        <v>69</v>
      </c>
      <c r="G28" s="65">
        <v>15.0</v>
      </c>
      <c r="H28" s="109">
        <v>1.997244E7</v>
      </c>
      <c r="I28" s="70">
        <f t="shared" si="3"/>
        <v>18493000</v>
      </c>
      <c r="J28" s="71">
        <v>0.08</v>
      </c>
      <c r="K28" s="70">
        <f t="shared" si="4"/>
        <v>1479440</v>
      </c>
      <c r="L28" s="110">
        <v>1.997244E7</v>
      </c>
      <c r="M28" s="74">
        <f t="shared" si="5"/>
        <v>0</v>
      </c>
      <c r="N28" s="77"/>
    </row>
    <row r="29">
      <c r="A29" s="108">
        <v>46178.0</v>
      </c>
      <c r="B29" s="57" t="s">
        <v>92</v>
      </c>
      <c r="C29" s="35" t="str">
        <f>IF(B29="","",VLOOKUP($B29,'4.Đơn hàng'!$B:$N,2,0))</f>
        <v>NLP Master</v>
      </c>
      <c r="D29" s="20" t="str">
        <f>IF(C29="","",VLOOKUP($B29,'4.Đơn hàng'!$B:$E,3,0))</f>
        <v>KH24</v>
      </c>
      <c r="E29" s="61" t="str">
        <f>IF(D29="","",VLOOKUP($D29,'3.Khách hàng'!$A:$I,2,0))</f>
        <v>CÔNG TY CỔ PHẦN DỊCH VỤ TÀI CHÍNH MINH TRÍ</v>
      </c>
      <c r="F29" s="62" t="s">
        <v>71</v>
      </c>
      <c r="G29" s="111">
        <v>18.0</v>
      </c>
      <c r="H29" s="112">
        <v>5.07448E7</v>
      </c>
      <c r="I29" s="70">
        <f t="shared" si="3"/>
        <v>46985925.93</v>
      </c>
      <c r="J29" s="113">
        <v>0.08</v>
      </c>
      <c r="K29" s="70">
        <f t="shared" si="4"/>
        <v>3758874.074</v>
      </c>
      <c r="L29" s="112">
        <v>5.074488E7</v>
      </c>
      <c r="M29" s="74">
        <f t="shared" si="5"/>
        <v>-80</v>
      </c>
      <c r="N29" s="111"/>
    </row>
    <row r="30">
      <c r="A30" s="114">
        <v>46178.0</v>
      </c>
      <c r="B30" s="57" t="s">
        <v>87</v>
      </c>
      <c r="C30" s="35" t="str">
        <f>IF(B30="","",VLOOKUP($B30,'4.Đơn hàng'!$B:$N,2,0))</f>
        <v>NLP Master</v>
      </c>
      <c r="D30" s="20" t="str">
        <f>IF(C30="","",VLOOKUP($B30,'4.Đơn hàng'!$B:$E,3,0))</f>
        <v>KH22</v>
      </c>
      <c r="E30" s="61" t="str">
        <f>IF(D30="","",VLOOKUP($D30,'3.Khách hàng'!$A:$I,2,0))</f>
        <v>NGUYỄN THỊ HIÊN</v>
      </c>
      <c r="F30" s="62" t="s">
        <v>71</v>
      </c>
      <c r="G30" s="111">
        <v>17.0</v>
      </c>
      <c r="H30" s="112">
        <v>4.6986E7</v>
      </c>
      <c r="I30" s="70">
        <f t="shared" si="3"/>
        <v>43505555.56</v>
      </c>
      <c r="J30" s="113">
        <v>0.08</v>
      </c>
      <c r="K30" s="70">
        <f t="shared" si="4"/>
        <v>3480444.444</v>
      </c>
      <c r="L30" s="112">
        <v>5.074488E7</v>
      </c>
      <c r="M30" s="74">
        <f t="shared" si="5"/>
        <v>-3758880</v>
      </c>
      <c r="N30" s="111"/>
    </row>
    <row r="31">
      <c r="A31" s="114">
        <v>46202.0</v>
      </c>
      <c r="B31" s="57" t="s">
        <v>98</v>
      </c>
      <c r="C31" s="35" t="str">
        <f>IF(B31="","",VLOOKUP($B31,'4.Đơn hàng'!$B:$N,2,0))</f>
        <v>Train The Trainer</v>
      </c>
      <c r="D31" s="20" t="str">
        <f>IF(C31="","",VLOOKUP($B31,'4.Đơn hàng'!$B:$E,3,0))</f>
        <v>KH23</v>
      </c>
      <c r="E31" s="61" t="str">
        <f>IF(D31="","",VLOOKUP($D31,'3.Khách hàng'!$A:$I,2,0))</f>
        <v>HỘ KINH DOANH NGUYỄN THANH HÙNG</v>
      </c>
      <c r="F31" s="115" t="s">
        <v>100</v>
      </c>
      <c r="G31" s="116">
        <v>19.0</v>
      </c>
      <c r="H31" s="112">
        <v>1.0E8</v>
      </c>
      <c r="I31" s="70">
        <f t="shared" si="3"/>
        <v>92592592.59</v>
      </c>
      <c r="J31" s="113">
        <v>0.08</v>
      </c>
      <c r="K31" s="70">
        <f t="shared" si="4"/>
        <v>7407407.407</v>
      </c>
      <c r="L31" s="117">
        <v>1.0E8</v>
      </c>
      <c r="M31" s="74">
        <f t="shared" si="5"/>
        <v>0</v>
      </c>
      <c r="N31" s="111"/>
    </row>
    <row r="32">
      <c r="A32" s="114">
        <v>46202.0</v>
      </c>
      <c r="B32" s="57" t="s">
        <v>98</v>
      </c>
      <c r="C32" s="35" t="str">
        <f>IF(B32="","",VLOOKUP($B32,'4.Đơn hàng'!$B:$N,2,0))</f>
        <v>Train The Trainer</v>
      </c>
      <c r="D32" s="20" t="str">
        <f>IF(C32="","",VLOOKUP($B32,'4.Đơn hàng'!$B:$E,3,0))</f>
        <v>KH23</v>
      </c>
      <c r="E32" s="61" t="str">
        <f>IF(D32="","",VLOOKUP($D32,'3.Khách hàng'!$A:$I,2,0))</f>
        <v>HỘ KINH DOANH NGUYỄN THANH HÙNG</v>
      </c>
      <c r="F32" s="115" t="s">
        <v>100</v>
      </c>
      <c r="G32" s="116">
        <v>19.0</v>
      </c>
      <c r="H32" s="112">
        <v>3.931E7</v>
      </c>
      <c r="I32" s="70">
        <f t="shared" si="3"/>
        <v>36398148.15</v>
      </c>
      <c r="J32" s="113">
        <v>0.08</v>
      </c>
      <c r="K32" s="70">
        <f t="shared" si="4"/>
        <v>2911851.852</v>
      </c>
      <c r="L32" s="118">
        <v>3.931E7</v>
      </c>
      <c r="M32" s="74">
        <f t="shared" si="5"/>
        <v>0</v>
      </c>
      <c r="N32" s="111"/>
    </row>
    <row r="33">
      <c r="A33" s="114">
        <v>46210.0</v>
      </c>
      <c r="B33" s="57" t="s">
        <v>87</v>
      </c>
      <c r="C33" s="35" t="str">
        <f>IF(B33="","",VLOOKUP($B33,'4.Đơn hàng'!$B:$N,2,0))</f>
        <v>NLP Master</v>
      </c>
      <c r="D33" s="20" t="str">
        <f>IF(C33="","",VLOOKUP($B33,'4.Đơn hàng'!$B:$E,3,0))</f>
        <v>KH22</v>
      </c>
      <c r="E33" s="61" t="str">
        <f>IF(D33="","",VLOOKUP($D33,'3.Khách hàng'!$A:$I,2,0))</f>
        <v>NGUYỄN THỊ HIÊN</v>
      </c>
      <c r="F33" s="62" t="s">
        <v>71</v>
      </c>
      <c r="G33" s="111"/>
      <c r="H33" s="112">
        <v>500000.0</v>
      </c>
      <c r="I33" s="70">
        <f t="shared" si="3"/>
        <v>462962.963</v>
      </c>
      <c r="J33" s="113">
        <v>0.08</v>
      </c>
      <c r="K33" s="70">
        <f t="shared" si="4"/>
        <v>37037.03704</v>
      </c>
      <c r="L33" s="112"/>
      <c r="M33" s="74">
        <f t="shared" si="5"/>
        <v>500000</v>
      </c>
      <c r="N33" s="111"/>
    </row>
    <row r="34">
      <c r="A34" s="114">
        <v>46210.0</v>
      </c>
      <c r="B34" s="57" t="s">
        <v>87</v>
      </c>
      <c r="C34" s="35" t="str">
        <f>IF(B34="","",VLOOKUP($B34,'4.Đơn hàng'!$B:$N,2,0))</f>
        <v>NLP Master</v>
      </c>
      <c r="D34" s="20" t="str">
        <f>IF(C34="","",VLOOKUP($B34,'4.Đơn hàng'!$B:$E,3,0))</f>
        <v>KH22</v>
      </c>
      <c r="E34" s="61" t="str">
        <f>IF(D34="","",VLOOKUP($D34,'3.Khách hàng'!$A:$I,2,0))</f>
        <v>NGUYỄN THỊ HIÊN</v>
      </c>
      <c r="F34" s="62" t="s">
        <v>71</v>
      </c>
      <c r="G34" s="111"/>
      <c r="H34" s="112">
        <v>4500000.0</v>
      </c>
      <c r="I34" s="70">
        <f t="shared" si="3"/>
        <v>4166666.667</v>
      </c>
      <c r="J34" s="113">
        <v>0.08</v>
      </c>
      <c r="K34" s="70">
        <f t="shared" si="4"/>
        <v>333333.3333</v>
      </c>
      <c r="L34" s="112"/>
      <c r="M34" s="74">
        <f t="shared" si="5"/>
        <v>4500000</v>
      </c>
      <c r="N34" s="111"/>
    </row>
    <row r="35">
      <c r="A35" s="114">
        <v>46227.0</v>
      </c>
      <c r="B35" s="57" t="s">
        <v>102</v>
      </c>
      <c r="C35" s="35" t="str">
        <f>IF(B35="","",VLOOKUP($B35,'4.Đơn hàng'!$B:$N,2,0))</f>
        <v>NLP Practitioner</v>
      </c>
      <c r="D35" s="20" t="str">
        <f>IF(C35="","",VLOOKUP($B35,'4.Đơn hàng'!$B:$E,3,0))</f>
        <v>KH28</v>
      </c>
      <c r="E35" s="61" t="str">
        <f>IF(D35="","",VLOOKUP($D35,'3.Khách hàng'!$A:$I,2,0))</f>
        <v>VÕ TẤN LỢI</v>
      </c>
      <c r="F35" s="29" t="s">
        <v>105</v>
      </c>
      <c r="G35" s="111">
        <v>20.0</v>
      </c>
      <c r="H35" s="112">
        <v>3.7894392E7</v>
      </c>
      <c r="I35" s="70">
        <f t="shared" si="3"/>
        <v>35087400</v>
      </c>
      <c r="J35" s="113">
        <v>0.08</v>
      </c>
      <c r="K35" s="70">
        <f t="shared" si="4"/>
        <v>2806992</v>
      </c>
      <c r="L35" s="112">
        <v>3.7894392E7</v>
      </c>
      <c r="M35" s="74">
        <f t="shared" si="5"/>
        <v>0</v>
      </c>
      <c r="N35" s="111"/>
    </row>
    <row r="36">
      <c r="A36" s="114">
        <v>46227.0</v>
      </c>
      <c r="B36" s="57" t="s">
        <v>41</v>
      </c>
      <c r="C36" s="35" t="str">
        <f>IF(B36="","",VLOOKUP($B36,'4.Đơn hàng'!$B:$N,2,0))</f>
        <v>Business in the Box</v>
      </c>
      <c r="D36" s="20" t="str">
        <f>IF(C36="","",VLOOKUP($B36,'4.Đơn hàng'!$B:$E,3,0))</f>
        <v>KH20</v>
      </c>
      <c r="E36" s="61" t="str">
        <f>IF(D36="","",VLOOKUP($D36,'3.Khách hàng'!$A:$I,2,0))</f>
        <v>PHẠM TRẦN HẢI</v>
      </c>
      <c r="F36" s="29" t="s">
        <v>77</v>
      </c>
      <c r="G36" s="111">
        <v>23.0</v>
      </c>
      <c r="H36" s="112">
        <v>3.0E7</v>
      </c>
      <c r="I36" s="70">
        <f t="shared" si="3"/>
        <v>27777777.78</v>
      </c>
      <c r="J36" s="113">
        <v>0.08</v>
      </c>
      <c r="K36" s="70">
        <f t="shared" si="4"/>
        <v>2222222.222</v>
      </c>
      <c r="L36" s="112">
        <v>3.0E7</v>
      </c>
      <c r="M36" s="74">
        <f t="shared" si="5"/>
        <v>0</v>
      </c>
      <c r="N36" s="111"/>
    </row>
    <row r="37">
      <c r="A37" s="114">
        <v>46227.0</v>
      </c>
      <c r="B37" s="57" t="s">
        <v>112</v>
      </c>
      <c r="C37" s="35" t="str">
        <f>IF(B37="","",VLOOKUP($B37,'4.Đơn hàng'!$B:$N,2,0))</f>
        <v>Business in the Box</v>
      </c>
      <c r="D37" s="20" t="str">
        <f>IF(C37="","",VLOOKUP($B37,'4.Đơn hàng'!$B:$E,3,0))</f>
        <v>KH29</v>
      </c>
      <c r="E37" s="61" t="str">
        <f>IF(D37="","",VLOOKUP($D37,'3.Khách hàng'!$A:$I,2,0))</f>
        <v>NGUYỄN THỊ NGỌC HÀ</v>
      </c>
      <c r="F37" s="29" t="s">
        <v>77</v>
      </c>
      <c r="G37" s="111"/>
      <c r="H37" s="112">
        <v>1.0E7</v>
      </c>
      <c r="I37" s="70">
        <f t="shared" si="3"/>
        <v>9259259.259</v>
      </c>
      <c r="J37" s="113">
        <v>0.08</v>
      </c>
      <c r="K37" s="70">
        <f t="shared" si="4"/>
        <v>740740.7407</v>
      </c>
      <c r="L37" s="112"/>
      <c r="M37" s="74">
        <f t="shared" si="5"/>
        <v>10000000</v>
      </c>
      <c r="N37" s="111"/>
    </row>
    <row r="38">
      <c r="A38" s="114">
        <v>46227.0</v>
      </c>
      <c r="B38" s="57" t="s">
        <v>48</v>
      </c>
      <c r="C38" s="35" t="str">
        <f>IF(B38="","",VLOOKUP($B38,'4.Đơn hàng'!$B:$N,2,0))</f>
        <v>Business in the Box</v>
      </c>
      <c r="D38" s="20" t="str">
        <f>IF(C38="","",VLOOKUP($B38,'4.Đơn hàng'!$B:$E,3,0))</f>
        <v>KH22</v>
      </c>
      <c r="E38" s="61" t="str">
        <f>IF(D38="","",VLOOKUP($D38,'3.Khách hàng'!$A:$I,2,0))</f>
        <v>NGUYỄN THỊ HIÊN</v>
      </c>
      <c r="F38" s="29" t="s">
        <v>77</v>
      </c>
      <c r="G38" s="111">
        <v>22.0</v>
      </c>
      <c r="H38" s="112">
        <v>1.0E7</v>
      </c>
      <c r="I38" s="70">
        <f t="shared" si="3"/>
        <v>9259259.259</v>
      </c>
      <c r="J38" s="113">
        <v>0.08</v>
      </c>
      <c r="K38" s="70">
        <f t="shared" si="4"/>
        <v>740740.7407</v>
      </c>
      <c r="L38" s="112">
        <v>1.0E7</v>
      </c>
      <c r="M38" s="74">
        <f t="shared" si="5"/>
        <v>0</v>
      </c>
      <c r="N38" s="111"/>
    </row>
    <row r="39">
      <c r="A39" s="114">
        <v>46227.0</v>
      </c>
      <c r="B39" s="57" t="s">
        <v>52</v>
      </c>
      <c r="C39" s="35" t="str">
        <f>IF(B39="","",VLOOKUP($B39,'4.Đơn hàng'!$B:$N,2,0))</f>
        <v>Business in the Box</v>
      </c>
      <c r="D39" s="20" t="str">
        <f>IF(C39="","",VLOOKUP($B39,'4.Đơn hàng'!$B:$E,3,0))</f>
        <v>KH23</v>
      </c>
      <c r="E39" s="61" t="str">
        <f>IF(D39="","",VLOOKUP($D39,'3.Khách hàng'!$A:$I,2,0))</f>
        <v>HỘ KINH DOANH NGUYỄN THANH HÙNG</v>
      </c>
      <c r="F39" s="29" t="s">
        <v>77</v>
      </c>
      <c r="G39" s="111">
        <v>24.0</v>
      </c>
      <c r="H39" s="112">
        <v>3.0E7</v>
      </c>
      <c r="I39" s="70">
        <f t="shared" si="3"/>
        <v>27777777.78</v>
      </c>
      <c r="J39" s="113">
        <v>0.08</v>
      </c>
      <c r="K39" s="70">
        <f t="shared" si="4"/>
        <v>2222222.222</v>
      </c>
      <c r="L39" s="112">
        <v>3.0E7</v>
      </c>
      <c r="M39" s="74">
        <f t="shared" si="5"/>
        <v>0</v>
      </c>
      <c r="N39" s="111"/>
    </row>
    <row r="40">
      <c r="A40" s="114">
        <v>46228.0</v>
      </c>
      <c r="B40" s="57" t="s">
        <v>137</v>
      </c>
      <c r="C40" s="35" t="str">
        <f>IF(B40="","",VLOOKUP($B40,'4.Đơn hàng'!$B:$N,2,0))</f>
        <v>NLP Practitioner</v>
      </c>
      <c r="D40" s="20" t="str">
        <f>IF(C40="","",VLOOKUP($B40,'4.Đơn hàng'!$B:$E,3,0))</f>
        <v>KH30</v>
      </c>
      <c r="E40" s="61" t="str">
        <f>IF(D40="","",VLOOKUP($D40,'3.Khách hàng'!$A:$I,2,0))</f>
        <v>VÕ THỊ MỸ LỘC</v>
      </c>
      <c r="F40" s="29" t="s">
        <v>105</v>
      </c>
      <c r="G40" s="111"/>
      <c r="H40" s="112">
        <v>4.2105E7</v>
      </c>
      <c r="I40" s="70">
        <f t="shared" si="3"/>
        <v>38986111.11</v>
      </c>
      <c r="J40" s="113">
        <v>0.08</v>
      </c>
      <c r="K40" s="70">
        <f t="shared" si="4"/>
        <v>3118888.889</v>
      </c>
      <c r="L40" s="112"/>
      <c r="M40" s="74">
        <f t="shared" si="5"/>
        <v>42105000</v>
      </c>
      <c r="N40" s="111"/>
    </row>
    <row r="41">
      <c r="A41" s="114">
        <v>46235.0</v>
      </c>
      <c r="B41" s="57" t="s">
        <v>52</v>
      </c>
      <c r="C41" s="35" t="str">
        <f>IF(B41="","",VLOOKUP($B41,'4.Đơn hàng'!$B:$N,2,0))</f>
        <v>Business in the Box</v>
      </c>
      <c r="D41" s="20" t="str">
        <f>IF(C41="","",VLOOKUP($B41,'4.Đơn hàng'!$B:$E,3,0))</f>
        <v>KH23</v>
      </c>
      <c r="E41" s="61" t="str">
        <f>IF(D41="","",VLOOKUP($D41,'3.Khách hàng'!$A:$I,2,0))</f>
        <v>HỘ KINH DOANH NGUYỄN THANH HÙNG</v>
      </c>
      <c r="F41" s="29" t="s">
        <v>77</v>
      </c>
      <c r="G41" s="111">
        <v>21.0</v>
      </c>
      <c r="H41" s="112">
        <v>6.3733E7</v>
      </c>
      <c r="I41" s="70">
        <f t="shared" si="3"/>
        <v>59012037.04</v>
      </c>
      <c r="J41" s="113">
        <v>0.08</v>
      </c>
      <c r="K41" s="70">
        <f t="shared" si="4"/>
        <v>4720962.963</v>
      </c>
      <c r="L41" s="112">
        <v>6.37332E7</v>
      </c>
      <c r="M41" s="74">
        <f t="shared" si="5"/>
        <v>-200</v>
      </c>
      <c r="N41" s="111"/>
    </row>
    <row r="42">
      <c r="A42" s="114">
        <v>46235.0</v>
      </c>
      <c r="B42" s="57" t="s">
        <v>41</v>
      </c>
      <c r="C42" s="35" t="str">
        <f>IF(B42="","",VLOOKUP($B42,'4.Đơn hàng'!$B:$N,2,0))</f>
        <v>Business in the Box</v>
      </c>
      <c r="D42" s="20" t="str">
        <f>IF(C42="","",VLOOKUP($B42,'4.Đơn hàng'!$B:$E,3,0))</f>
        <v>KH20</v>
      </c>
      <c r="E42" s="61" t="str">
        <f>IF(D42="","",VLOOKUP($D42,'3.Khách hàng'!$A:$I,2,0))</f>
        <v>PHẠM TRẦN HẢI</v>
      </c>
      <c r="F42" s="29" t="s">
        <v>77</v>
      </c>
      <c r="G42" s="111">
        <v>23.0</v>
      </c>
      <c r="H42" s="112">
        <v>6.3733E7</v>
      </c>
      <c r="I42" s="70">
        <f t="shared" si="3"/>
        <v>59012037.04</v>
      </c>
      <c r="J42" s="113">
        <v>0.08</v>
      </c>
      <c r="K42" s="70">
        <f t="shared" si="4"/>
        <v>4720962.963</v>
      </c>
      <c r="L42" s="112">
        <v>6.37332E7</v>
      </c>
      <c r="M42" s="74">
        <f t="shared" si="5"/>
        <v>-200</v>
      </c>
      <c r="N42" s="111"/>
    </row>
    <row r="43">
      <c r="A43" s="114">
        <v>46235.0</v>
      </c>
      <c r="B43" s="57" t="s">
        <v>48</v>
      </c>
      <c r="C43" s="35" t="str">
        <f>IF(B43="","",VLOOKUP($B43,'4.Đơn hàng'!$B:$N,2,0))</f>
        <v>Business in the Box</v>
      </c>
      <c r="D43" s="20" t="str">
        <f>IF(C43="","",VLOOKUP($B43,'4.Đơn hàng'!$B:$E,3,0))</f>
        <v>KH22</v>
      </c>
      <c r="E43" s="61" t="str">
        <f>IF(D43="","",VLOOKUP($D43,'3.Khách hàng'!$A:$I,2,0))</f>
        <v>NGUYỄN THỊ HIÊN</v>
      </c>
      <c r="F43" s="29" t="s">
        <v>77</v>
      </c>
      <c r="G43" s="111">
        <v>22.0</v>
      </c>
      <c r="H43" s="112">
        <v>8.3733E7</v>
      </c>
      <c r="I43" s="70">
        <f t="shared" si="3"/>
        <v>77530555.56</v>
      </c>
      <c r="J43" s="113">
        <v>0.08</v>
      </c>
      <c r="K43" s="70">
        <f t="shared" si="4"/>
        <v>6202444.444</v>
      </c>
      <c r="L43" s="112">
        <v>8.3733E7</v>
      </c>
      <c r="M43" s="74">
        <f t="shared" si="5"/>
        <v>0</v>
      </c>
      <c r="N43" s="111"/>
    </row>
    <row r="44">
      <c r="A44" s="126">
        <v>46126.0</v>
      </c>
      <c r="B44" s="57" t="s">
        <v>85</v>
      </c>
      <c r="C44" s="35" t="str">
        <f>IF(B44="","",VLOOKUP($B44,'4.Đơn hàng'!$B:$N,2,0))</f>
        <v>NLP Practitioner</v>
      </c>
      <c r="D44" s="20" t="str">
        <f>IF(C44="","",VLOOKUP($B44,'4.Đơn hàng'!$B:$E,3,0))</f>
        <v>KH31</v>
      </c>
      <c r="E44" s="61" t="str">
        <f>IF(D44="","",VLOOKUP($D44,'3.Khách hàng'!$A:$I,2,0))</f>
        <v>NGUYỄN THỊ KIM</v>
      </c>
      <c r="F44" s="29" t="s">
        <v>105</v>
      </c>
      <c r="G44" s="111">
        <v>16.0</v>
      </c>
      <c r="H44" s="128">
        <v>2.0E7</v>
      </c>
      <c r="I44" s="70">
        <f t="shared" si="3"/>
        <v>18518518.52</v>
      </c>
      <c r="J44" s="113">
        <v>0.08</v>
      </c>
      <c r="K44" s="70">
        <f t="shared" si="4"/>
        <v>1481481.481</v>
      </c>
      <c r="L44" s="112"/>
      <c r="M44" s="74">
        <f t="shared" si="5"/>
        <v>20000000</v>
      </c>
      <c r="N44" s="111"/>
    </row>
    <row r="45">
      <c r="A45" s="126">
        <v>46128.0</v>
      </c>
      <c r="B45" s="57" t="s">
        <v>85</v>
      </c>
      <c r="C45" s="35" t="str">
        <f>IF(B45="","",VLOOKUP($B45,'4.Đơn hàng'!$B:$N,2,0))</f>
        <v>NLP Practitioner</v>
      </c>
      <c r="D45" s="20" t="str">
        <f>IF(C45="","",VLOOKUP($B45,'4.Đơn hàng'!$B:$E,3,0))</f>
        <v>KH31</v>
      </c>
      <c r="E45" s="61" t="str">
        <f>IF(D45="","",VLOOKUP($D45,'3.Khách hàng'!$A:$I,2,0))</f>
        <v>NGUYỄN THỊ KIM</v>
      </c>
      <c r="F45" s="29" t="s">
        <v>105</v>
      </c>
      <c r="G45" s="111">
        <v>16.0</v>
      </c>
      <c r="H45" s="128">
        <v>1.32874E7</v>
      </c>
      <c r="I45" s="70">
        <f t="shared" si="3"/>
        <v>12303148.15</v>
      </c>
      <c r="J45" s="113">
        <v>0.08</v>
      </c>
      <c r="K45" s="70">
        <f t="shared" si="4"/>
        <v>984251.8519</v>
      </c>
      <c r="L45" s="112"/>
      <c r="M45" s="74">
        <f t="shared" si="5"/>
        <v>13287400</v>
      </c>
      <c r="N45" s="111"/>
    </row>
    <row r="46">
      <c r="A46" s="126"/>
      <c r="B46" s="121"/>
      <c r="C46" s="35" t="str">
        <f>IF(B46="","",VLOOKUP($B46,'4.Đơn hàng'!$B:$N,2,0))</f>
        <v/>
      </c>
      <c r="D46" s="20" t="str">
        <f>IF(C46="","",VLOOKUP($B46,'4.Đơn hàng'!$B:$E,3,0))</f>
        <v/>
      </c>
      <c r="E46" s="61" t="str">
        <f>IF(D46="","",VLOOKUP($D46,'3.Khách hàng'!$A:$I,2,0))</f>
        <v/>
      </c>
      <c r="F46" s="115"/>
      <c r="G46" s="111"/>
      <c r="H46" s="112"/>
      <c r="I46" s="70">
        <f t="shared" si="3"/>
        <v>0</v>
      </c>
      <c r="J46" s="113">
        <v>0.08</v>
      </c>
      <c r="K46" s="70">
        <f t="shared" si="4"/>
        <v>0</v>
      </c>
      <c r="L46" s="112"/>
      <c r="M46" s="74">
        <f t="shared" si="5"/>
        <v>0</v>
      </c>
      <c r="N46" s="111"/>
    </row>
    <row r="47">
      <c r="A47" s="126"/>
      <c r="B47" s="121"/>
      <c r="C47" s="35" t="str">
        <f>IF(B47="","",VLOOKUP($B47,'4.Đơn hàng'!$B:$N,2,0))</f>
        <v/>
      </c>
      <c r="D47" s="20" t="str">
        <f>IF(C47="","",VLOOKUP($B47,'4.Đơn hàng'!$B:$E,3,0))</f>
        <v/>
      </c>
      <c r="E47" s="61" t="str">
        <f>IF(D47="","",VLOOKUP($D47,'3.Khách hàng'!$A:$I,2,0))</f>
        <v/>
      </c>
      <c r="F47" s="115"/>
      <c r="G47" s="111"/>
      <c r="H47" s="112"/>
      <c r="I47" s="70">
        <f t="shared" si="3"/>
        <v>0</v>
      </c>
      <c r="J47" s="113">
        <v>0.08</v>
      </c>
      <c r="K47" s="70">
        <f t="shared" si="4"/>
        <v>0</v>
      </c>
      <c r="L47" s="112"/>
      <c r="M47" s="74">
        <f t="shared" si="5"/>
        <v>0</v>
      </c>
      <c r="N47" s="111"/>
    </row>
    <row r="48">
      <c r="A48" s="126"/>
      <c r="B48" s="121"/>
      <c r="C48" s="35" t="str">
        <f>IF(B48="","",VLOOKUP($B48,'4.Đơn hàng'!$B:$N,2,0))</f>
        <v/>
      </c>
      <c r="D48" s="20" t="str">
        <f>IF(C48="","",VLOOKUP($B48,'4.Đơn hàng'!$B:$E,3,0))</f>
        <v/>
      </c>
      <c r="E48" s="61" t="str">
        <f>IF(D48="","",VLOOKUP($D48,'3.Khách hàng'!$A:$I,2,0))</f>
        <v/>
      </c>
      <c r="F48" s="115"/>
      <c r="G48" s="111"/>
      <c r="H48" s="112"/>
      <c r="I48" s="70">
        <f t="shared" si="3"/>
        <v>0</v>
      </c>
      <c r="J48" s="113"/>
      <c r="K48" s="70">
        <f t="shared" si="4"/>
        <v>0</v>
      </c>
      <c r="L48" s="112"/>
      <c r="M48" s="74">
        <f t="shared" si="5"/>
        <v>0</v>
      </c>
      <c r="N48" s="111"/>
    </row>
    <row r="49">
      <c r="A49" s="126"/>
      <c r="B49" s="121"/>
      <c r="C49" s="35" t="str">
        <f>IF(B49="","",VLOOKUP($B49,'4.Đơn hàng'!$B:$N,2,0))</f>
        <v/>
      </c>
      <c r="D49" s="20" t="str">
        <f>IF(C49="","",VLOOKUP($B49,'4.Đơn hàng'!$B:$E,3,0))</f>
        <v/>
      </c>
      <c r="E49" s="61" t="str">
        <f>IF(D49="","",VLOOKUP($D49,'3.Khách hàng'!$A:$I,2,0))</f>
        <v/>
      </c>
      <c r="F49" s="115"/>
      <c r="G49" s="111"/>
      <c r="H49" s="112"/>
      <c r="I49" s="70">
        <f t="shared" si="3"/>
        <v>0</v>
      </c>
      <c r="J49" s="113"/>
      <c r="K49" s="70">
        <f t="shared" si="4"/>
        <v>0</v>
      </c>
      <c r="L49" s="112"/>
      <c r="M49" s="74">
        <f t="shared" si="5"/>
        <v>0</v>
      </c>
      <c r="N49" s="111"/>
    </row>
    <row r="50">
      <c r="A50" s="126"/>
      <c r="B50" s="121"/>
      <c r="C50" s="35" t="str">
        <f>IF(B50="","",VLOOKUP($B50,'4.Đơn hàng'!$B:$N,2,0))</f>
        <v/>
      </c>
      <c r="D50" s="20" t="str">
        <f>IF(C50="","",VLOOKUP($B50,'4.Đơn hàng'!$B:$E,3,0))</f>
        <v/>
      </c>
      <c r="E50" s="61" t="str">
        <f>IF(D50="","",VLOOKUP($D50,'3.Khách hàng'!$A:$I,2,0))</f>
        <v/>
      </c>
      <c r="F50" s="115"/>
      <c r="G50" s="111"/>
      <c r="H50" s="112"/>
      <c r="I50" s="70">
        <f t="shared" si="3"/>
        <v>0</v>
      </c>
      <c r="J50" s="113"/>
      <c r="K50" s="70">
        <f t="shared" si="4"/>
        <v>0</v>
      </c>
      <c r="L50" s="112"/>
      <c r="M50" s="74">
        <f t="shared" si="5"/>
        <v>0</v>
      </c>
      <c r="N50" s="111"/>
    </row>
    <row r="51">
      <c r="A51" s="126"/>
      <c r="B51" s="121"/>
      <c r="C51" s="35" t="str">
        <f>IF(B51="","",VLOOKUP($B51,'4.Đơn hàng'!$B:$N,2,0))</f>
        <v/>
      </c>
      <c r="D51" s="20" t="str">
        <f>IF(C51="","",VLOOKUP($B51,'4.Đơn hàng'!$B:$E,3,0))</f>
        <v/>
      </c>
      <c r="E51" s="61" t="str">
        <f>IF(D51="","",VLOOKUP($D51,'3.Khách hàng'!$A:$I,2,0))</f>
        <v/>
      </c>
      <c r="F51" s="115"/>
      <c r="G51" s="111"/>
      <c r="H51" s="112"/>
      <c r="I51" s="70">
        <f t="shared" si="3"/>
        <v>0</v>
      </c>
      <c r="J51" s="113"/>
      <c r="K51" s="70">
        <f t="shared" si="4"/>
        <v>0</v>
      </c>
      <c r="L51" s="112"/>
      <c r="M51" s="74">
        <f t="shared" si="5"/>
        <v>0</v>
      </c>
      <c r="N51" s="111"/>
    </row>
    <row r="52">
      <c r="A52" s="126"/>
      <c r="B52" s="121"/>
      <c r="C52" s="35" t="str">
        <f>IF(B52="","",VLOOKUP($B52,'4.Đơn hàng'!$B:$N,2,0))</f>
        <v/>
      </c>
      <c r="D52" s="20" t="str">
        <f>IF(C52="","",VLOOKUP($B52,'4.Đơn hàng'!$B:$E,3,0))</f>
        <v/>
      </c>
      <c r="E52" s="61" t="str">
        <f>IF(D52="","",VLOOKUP($D52,'3.Khách hàng'!$A:$I,2,0))</f>
        <v/>
      </c>
      <c r="F52" s="115"/>
      <c r="G52" s="111"/>
      <c r="H52" s="112"/>
      <c r="I52" s="70">
        <f t="shared" si="3"/>
        <v>0</v>
      </c>
      <c r="J52" s="113"/>
      <c r="K52" s="70">
        <f t="shared" si="4"/>
        <v>0</v>
      </c>
      <c r="L52" s="112"/>
      <c r="M52" s="74">
        <f t="shared" si="5"/>
        <v>0</v>
      </c>
      <c r="N52" s="111"/>
    </row>
    <row r="53">
      <c r="A53" s="126"/>
      <c r="B53" s="121"/>
      <c r="C53" s="35" t="str">
        <f>IF(B53="","",VLOOKUP($B53,'4.Đơn hàng'!$B:$N,2,0))</f>
        <v/>
      </c>
      <c r="D53" s="20" t="str">
        <f>IF(C53="","",VLOOKUP($B53,'4.Đơn hàng'!$B:$E,3,0))</f>
        <v/>
      </c>
      <c r="E53" s="61" t="str">
        <f>IF(D53="","",VLOOKUP($D53,'3.Khách hàng'!$A:$I,2,0))</f>
        <v/>
      </c>
      <c r="F53" s="115"/>
      <c r="G53" s="111"/>
      <c r="H53" s="112"/>
      <c r="I53" s="70">
        <f t="shared" si="3"/>
        <v>0</v>
      </c>
      <c r="J53" s="113"/>
      <c r="K53" s="70">
        <f t="shared" si="4"/>
        <v>0</v>
      </c>
      <c r="L53" s="112"/>
      <c r="M53" s="74">
        <f t="shared" si="5"/>
        <v>0</v>
      </c>
      <c r="N53" s="111"/>
    </row>
    <row r="54">
      <c r="A54" s="126"/>
      <c r="B54" s="121"/>
      <c r="C54" s="35" t="str">
        <f>IF(B54="","",VLOOKUP($B54,'4.Đơn hàng'!$B:$N,2,0))</f>
        <v/>
      </c>
      <c r="D54" s="20" t="str">
        <f>IF(C54="","",VLOOKUP($B54,'4.Đơn hàng'!$B:$E,3,0))</f>
        <v/>
      </c>
      <c r="E54" s="61" t="str">
        <f>IF(D54="","",VLOOKUP($D54,'3.Khách hàng'!$A:$I,2,0))</f>
        <v/>
      </c>
      <c r="F54" s="115"/>
      <c r="G54" s="111"/>
      <c r="H54" s="112"/>
      <c r="I54" s="70">
        <f t="shared" si="3"/>
        <v>0</v>
      </c>
      <c r="J54" s="113"/>
      <c r="K54" s="70">
        <f t="shared" si="4"/>
        <v>0</v>
      </c>
      <c r="L54" s="112"/>
      <c r="M54" s="74">
        <f t="shared" si="5"/>
        <v>0</v>
      </c>
      <c r="N54" s="111"/>
    </row>
    <row r="55">
      <c r="A55" s="126"/>
      <c r="B55" s="121"/>
      <c r="C55" s="35" t="str">
        <f>IF(B55="","",VLOOKUP($B55,'4.Đơn hàng'!$B:$N,2,0))</f>
        <v/>
      </c>
      <c r="D55" s="20" t="str">
        <f>IF(C55="","",VLOOKUP($B55,'4.Đơn hàng'!$B:$E,3,0))</f>
        <v/>
      </c>
      <c r="E55" s="61" t="str">
        <f>IF(D55="","",VLOOKUP($D55,'3.Khách hàng'!$A:$I,2,0))</f>
        <v/>
      </c>
      <c r="F55" s="115"/>
      <c r="G55" s="111"/>
      <c r="H55" s="112"/>
      <c r="I55" s="70">
        <f t="shared" si="3"/>
        <v>0</v>
      </c>
      <c r="J55" s="113"/>
      <c r="K55" s="70">
        <f t="shared" si="4"/>
        <v>0</v>
      </c>
      <c r="L55" s="112"/>
      <c r="M55" s="74">
        <f t="shared" si="5"/>
        <v>0</v>
      </c>
      <c r="N55" s="111"/>
    </row>
    <row r="56">
      <c r="A56" s="126"/>
      <c r="B56" s="121"/>
      <c r="C56" s="35" t="str">
        <f>IF(B56="","",VLOOKUP($B56,'4.Đơn hàng'!$B:$N,2,0))</f>
        <v/>
      </c>
      <c r="D56" s="20" t="str">
        <f>IF(C56="","",VLOOKUP($B56,'4.Đơn hàng'!$B:$E,3,0))</f>
        <v/>
      </c>
      <c r="E56" s="61" t="str">
        <f>IF(D56="","",VLOOKUP($D56,'3.Khách hàng'!$A:$I,2,0))</f>
        <v/>
      </c>
      <c r="F56" s="115"/>
      <c r="G56" s="111"/>
      <c r="H56" s="112"/>
      <c r="I56" s="70">
        <f t="shared" si="3"/>
        <v>0</v>
      </c>
      <c r="J56" s="113"/>
      <c r="K56" s="70">
        <f t="shared" si="4"/>
        <v>0</v>
      </c>
      <c r="L56" s="112"/>
      <c r="M56" s="74">
        <f t="shared" si="5"/>
        <v>0</v>
      </c>
      <c r="N56" s="111"/>
    </row>
    <row r="57">
      <c r="A57" s="126"/>
      <c r="B57" s="121"/>
      <c r="C57" s="35" t="str">
        <f>IF(B57="","",VLOOKUP($B57,'4.Đơn hàng'!$B:$N,2,0))</f>
        <v/>
      </c>
      <c r="D57" s="20" t="str">
        <f>IF(C57="","",VLOOKUP($B57,'4.Đơn hàng'!$B:$E,3,0))</f>
        <v/>
      </c>
      <c r="E57" s="61" t="str">
        <f>IF(D57="","",VLOOKUP($D57,'3.Khách hàng'!$A:$I,2,0))</f>
        <v/>
      </c>
      <c r="F57" s="115"/>
      <c r="G57" s="111"/>
      <c r="H57" s="112"/>
      <c r="I57" s="70">
        <f t="shared" si="3"/>
        <v>0</v>
      </c>
      <c r="J57" s="113"/>
      <c r="K57" s="70">
        <f t="shared" si="4"/>
        <v>0</v>
      </c>
      <c r="L57" s="112"/>
      <c r="M57" s="74">
        <f t="shared" si="5"/>
        <v>0</v>
      </c>
      <c r="N57" s="111"/>
    </row>
    <row r="58">
      <c r="A58" s="126"/>
      <c r="B58" s="121"/>
      <c r="C58" s="35" t="str">
        <f>IF(B58="","",VLOOKUP($B58,'4.Đơn hàng'!$B:$N,2,0))</f>
        <v/>
      </c>
      <c r="D58" s="20" t="str">
        <f>IF(C58="","",VLOOKUP($B58,'4.Đơn hàng'!$B:$E,3,0))</f>
        <v/>
      </c>
      <c r="E58" s="61" t="str">
        <f>IF(D58="","",VLOOKUP($D58,'3.Khách hàng'!$A:$I,2,0))</f>
        <v/>
      </c>
      <c r="F58" s="115"/>
      <c r="G58" s="111"/>
      <c r="H58" s="112"/>
      <c r="I58" s="70">
        <f t="shared" si="3"/>
        <v>0</v>
      </c>
      <c r="J58" s="113"/>
      <c r="K58" s="70">
        <f t="shared" si="4"/>
        <v>0</v>
      </c>
      <c r="L58" s="112"/>
      <c r="M58" s="74">
        <f t="shared" si="5"/>
        <v>0</v>
      </c>
      <c r="N58" s="111"/>
    </row>
    <row r="59">
      <c r="A59" s="126"/>
      <c r="B59" s="121"/>
      <c r="C59" s="35" t="str">
        <f>IF(B59="","",VLOOKUP($B59,'4.Đơn hàng'!$B:$N,2,0))</f>
        <v/>
      </c>
      <c r="D59" s="20" t="str">
        <f>IF(C59="","",VLOOKUP($B59,'4.Đơn hàng'!$B:$E,3,0))</f>
        <v/>
      </c>
      <c r="E59" s="61" t="str">
        <f>IF(D59="","",VLOOKUP($D59,'3.Khách hàng'!$A:$I,2,0))</f>
        <v/>
      </c>
      <c r="F59" s="115"/>
      <c r="G59" s="111"/>
      <c r="H59" s="112"/>
      <c r="I59" s="70">
        <f t="shared" si="3"/>
        <v>0</v>
      </c>
      <c r="J59" s="113"/>
      <c r="K59" s="70">
        <f t="shared" si="4"/>
        <v>0</v>
      </c>
      <c r="L59" s="112"/>
      <c r="M59" s="74">
        <f t="shared" si="5"/>
        <v>0</v>
      </c>
      <c r="N59" s="111"/>
    </row>
    <row r="60">
      <c r="A60" s="126"/>
      <c r="B60" s="121"/>
      <c r="C60" s="35" t="str">
        <f>IF(B60="","",VLOOKUP($B60,'4.Đơn hàng'!$B:$N,2,0))</f>
        <v/>
      </c>
      <c r="D60" s="20" t="str">
        <f>IF(C60="","",VLOOKUP($B60,'4.Đơn hàng'!$B:$E,3,0))</f>
        <v/>
      </c>
      <c r="E60" s="61" t="str">
        <f>IF(D60="","",VLOOKUP($D60,'3.Khách hàng'!$A:$I,2,0))</f>
        <v/>
      </c>
      <c r="F60" s="115"/>
      <c r="G60" s="111"/>
      <c r="H60" s="112"/>
      <c r="I60" s="70">
        <f t="shared" si="3"/>
        <v>0</v>
      </c>
      <c r="J60" s="113"/>
      <c r="K60" s="70">
        <f t="shared" si="4"/>
        <v>0</v>
      </c>
      <c r="L60" s="112"/>
      <c r="M60" s="74">
        <f t="shared" si="5"/>
        <v>0</v>
      </c>
      <c r="N60" s="111"/>
    </row>
    <row r="61">
      <c r="A61" s="126"/>
      <c r="B61" s="121"/>
      <c r="C61" s="35" t="str">
        <f>IF(B61="","",VLOOKUP($B61,'4.Đơn hàng'!$B:$N,2,0))</f>
        <v/>
      </c>
      <c r="D61" s="20" t="str">
        <f>IF(C61="","",VLOOKUP($B61,'4.Đơn hàng'!$B:$E,3,0))</f>
        <v/>
      </c>
      <c r="E61" s="61" t="str">
        <f>IF(D61="","",VLOOKUP($D61,'3.Khách hàng'!$A:$I,2,0))</f>
        <v/>
      </c>
      <c r="F61" s="115"/>
      <c r="G61" s="111"/>
      <c r="H61" s="112"/>
      <c r="I61" s="70">
        <f t="shared" si="3"/>
        <v>0</v>
      </c>
      <c r="J61" s="113"/>
      <c r="K61" s="70">
        <f t="shared" si="4"/>
        <v>0</v>
      </c>
      <c r="L61" s="112"/>
      <c r="M61" s="74">
        <f t="shared" si="5"/>
        <v>0</v>
      </c>
      <c r="N61" s="111"/>
    </row>
    <row r="62">
      <c r="A62" s="126"/>
      <c r="B62" s="121"/>
      <c r="C62" s="35" t="str">
        <f>IF(B62="","",VLOOKUP($B62,'4.Đơn hàng'!$B:$N,2,0))</f>
        <v/>
      </c>
      <c r="D62" s="20" t="str">
        <f>IF(C62="","",VLOOKUP($B62,'4.Đơn hàng'!$B:$E,3,0))</f>
        <v/>
      </c>
      <c r="E62" s="61" t="str">
        <f>IF(D62="","",VLOOKUP($D62,'3.Khách hàng'!$A:$I,2,0))</f>
        <v/>
      </c>
      <c r="F62" s="115"/>
      <c r="G62" s="111"/>
      <c r="H62" s="112"/>
      <c r="I62" s="70">
        <f t="shared" si="3"/>
        <v>0</v>
      </c>
      <c r="J62" s="113"/>
      <c r="K62" s="70">
        <f t="shared" si="4"/>
        <v>0</v>
      </c>
      <c r="L62" s="112"/>
      <c r="M62" s="74">
        <f t="shared" si="5"/>
        <v>0</v>
      </c>
      <c r="N62" s="111"/>
    </row>
    <row r="63">
      <c r="A63" s="126"/>
      <c r="B63" s="121"/>
      <c r="C63" s="35" t="str">
        <f>IF(B63="","",VLOOKUP($B63,'4.Đơn hàng'!$B:$N,2,0))</f>
        <v/>
      </c>
      <c r="D63" s="20" t="str">
        <f>IF(C63="","",VLOOKUP($B63,'4.Đơn hàng'!$B:$E,3,0))</f>
        <v/>
      </c>
      <c r="E63" s="61" t="str">
        <f>IF(D63="","",VLOOKUP($D63,'3.Khách hàng'!$A:$I,2,0))</f>
        <v/>
      </c>
      <c r="F63" s="115"/>
      <c r="G63" s="111"/>
      <c r="H63" s="112"/>
      <c r="I63" s="70">
        <f t="shared" si="3"/>
        <v>0</v>
      </c>
      <c r="J63" s="113"/>
      <c r="K63" s="70">
        <f t="shared" si="4"/>
        <v>0</v>
      </c>
      <c r="L63" s="112"/>
      <c r="M63" s="74">
        <f t="shared" si="5"/>
        <v>0</v>
      </c>
      <c r="N63" s="111"/>
    </row>
    <row r="64">
      <c r="A64" s="126"/>
      <c r="B64" s="121"/>
      <c r="C64" s="35" t="str">
        <f>IF(B64="","",VLOOKUP($B64,'4.Đơn hàng'!$B:$N,2,0))</f>
        <v/>
      </c>
      <c r="D64" s="20" t="str">
        <f>IF(C64="","",VLOOKUP($B64,'4.Đơn hàng'!$B:$E,3,0))</f>
        <v/>
      </c>
      <c r="E64" s="61" t="str">
        <f>IF(D64="","",VLOOKUP($D64,'3.Khách hàng'!$A:$I,2,0))</f>
        <v/>
      </c>
      <c r="F64" s="115"/>
      <c r="G64" s="111"/>
      <c r="H64" s="112"/>
      <c r="I64" s="70">
        <f t="shared" si="3"/>
        <v>0</v>
      </c>
      <c r="J64" s="113"/>
      <c r="K64" s="70">
        <f t="shared" si="4"/>
        <v>0</v>
      </c>
      <c r="L64" s="112"/>
      <c r="M64" s="74">
        <f t="shared" si="5"/>
        <v>0</v>
      </c>
      <c r="N64" s="111"/>
    </row>
    <row r="65">
      <c r="A65" s="126"/>
      <c r="B65" s="121"/>
      <c r="C65" s="35" t="str">
        <f>IF(B65="","",VLOOKUP($B65,'4.Đơn hàng'!$B:$N,2,0))</f>
        <v/>
      </c>
      <c r="D65" s="20" t="str">
        <f>IF(C65="","",VLOOKUP($B65,'4.Đơn hàng'!$B:$E,3,0))</f>
        <v/>
      </c>
      <c r="E65" s="61" t="str">
        <f>IF(D65="","",VLOOKUP($D65,'3.Khách hàng'!$A:$I,2,0))</f>
        <v/>
      </c>
      <c r="F65" s="115"/>
      <c r="G65" s="111"/>
      <c r="H65" s="112"/>
      <c r="I65" s="70">
        <f t="shared" si="3"/>
        <v>0</v>
      </c>
      <c r="J65" s="113"/>
      <c r="K65" s="70">
        <f t="shared" si="4"/>
        <v>0</v>
      </c>
      <c r="L65" s="112"/>
      <c r="M65" s="74">
        <f t="shared" si="5"/>
        <v>0</v>
      </c>
      <c r="N65" s="111"/>
    </row>
    <row r="66">
      <c r="A66" s="126"/>
      <c r="B66" s="121"/>
      <c r="C66" s="35" t="str">
        <f>IF(B66="","",VLOOKUP($B66,'4.Đơn hàng'!$B:$N,2,0))</f>
        <v/>
      </c>
      <c r="D66" s="20" t="str">
        <f>IF(C66="","",VLOOKUP($B66,'4.Đơn hàng'!$B:$E,3,0))</f>
        <v/>
      </c>
      <c r="E66" s="61" t="str">
        <f>IF(D66="","",VLOOKUP($D66,'3.Khách hàng'!$A:$I,2,0))</f>
        <v/>
      </c>
      <c r="F66" s="115"/>
      <c r="G66" s="111"/>
      <c r="H66" s="112"/>
      <c r="I66" s="70">
        <f t="shared" si="3"/>
        <v>0</v>
      </c>
      <c r="J66" s="113"/>
      <c r="K66" s="70">
        <f t="shared" si="4"/>
        <v>0</v>
      </c>
      <c r="L66" s="112"/>
      <c r="M66" s="74">
        <f t="shared" si="5"/>
        <v>0</v>
      </c>
      <c r="N66" s="111"/>
    </row>
    <row r="67">
      <c r="A67" s="126"/>
      <c r="B67" s="121"/>
      <c r="C67" s="35" t="str">
        <f>IF(B67="","",VLOOKUP($B67,'4.Đơn hàng'!$B:$N,2,0))</f>
        <v/>
      </c>
      <c r="D67" s="20" t="str">
        <f>IF(C67="","",VLOOKUP($B67,'4.Đơn hàng'!$B:$E,3,0))</f>
        <v/>
      </c>
      <c r="E67" s="61" t="str">
        <f>IF(D67="","",VLOOKUP($D67,'3.Khách hàng'!$A:$I,2,0))</f>
        <v/>
      </c>
      <c r="F67" s="115"/>
      <c r="G67" s="111"/>
      <c r="H67" s="112"/>
      <c r="I67" s="70">
        <f t="shared" si="3"/>
        <v>0</v>
      </c>
      <c r="J67" s="113"/>
      <c r="K67" s="70">
        <f t="shared" si="4"/>
        <v>0</v>
      </c>
      <c r="L67" s="112"/>
      <c r="M67" s="74">
        <f t="shared" si="5"/>
        <v>0</v>
      </c>
      <c r="N67" s="111"/>
    </row>
    <row r="68">
      <c r="A68" s="126"/>
      <c r="B68" s="121"/>
      <c r="C68" s="35" t="str">
        <f>IF(B68="","",VLOOKUP($B68,'4.Đơn hàng'!$B:$N,2,0))</f>
        <v/>
      </c>
      <c r="D68" s="20" t="str">
        <f>IF(C68="","",VLOOKUP($B68,'4.Đơn hàng'!$B:$E,3,0))</f>
        <v/>
      </c>
      <c r="E68" s="61" t="str">
        <f>IF(D68="","",VLOOKUP($D68,'3.Khách hàng'!$A:$I,2,0))</f>
        <v/>
      </c>
      <c r="F68" s="115"/>
      <c r="G68" s="111"/>
      <c r="H68" s="112"/>
      <c r="I68" s="70">
        <f t="shared" si="3"/>
        <v>0</v>
      </c>
      <c r="J68" s="113"/>
      <c r="K68" s="70">
        <f t="shared" si="4"/>
        <v>0</v>
      </c>
      <c r="L68" s="112"/>
      <c r="M68" s="74">
        <f t="shared" si="5"/>
        <v>0</v>
      </c>
      <c r="N68" s="111"/>
    </row>
    <row r="69">
      <c r="A69" s="126"/>
      <c r="B69" s="121"/>
      <c r="C69" s="35" t="str">
        <f>IF(B69="","",VLOOKUP($B69,'4.Đơn hàng'!$B:$N,2,0))</f>
        <v/>
      </c>
      <c r="D69" s="20" t="str">
        <f>IF(C69="","",VLOOKUP($B69,'4.Đơn hàng'!$B:$E,3,0))</f>
        <v/>
      </c>
      <c r="E69" s="61" t="str">
        <f>IF(D69="","",VLOOKUP($D69,'3.Khách hàng'!$A:$I,2,0))</f>
        <v/>
      </c>
      <c r="F69" s="115"/>
      <c r="G69" s="111"/>
      <c r="H69" s="112"/>
      <c r="I69" s="70">
        <f t="shared" si="3"/>
        <v>0</v>
      </c>
      <c r="J69" s="113"/>
      <c r="K69" s="70">
        <f t="shared" si="4"/>
        <v>0</v>
      </c>
      <c r="L69" s="112"/>
      <c r="M69" s="74">
        <f t="shared" si="5"/>
        <v>0</v>
      </c>
      <c r="N69" s="111"/>
    </row>
    <row r="70">
      <c r="A70" s="126"/>
      <c r="B70" s="121"/>
      <c r="C70" s="35" t="str">
        <f>IF(B70="","",VLOOKUP($B70,'4.Đơn hàng'!$B:$N,2,0))</f>
        <v/>
      </c>
      <c r="D70" s="20" t="str">
        <f>IF(C70="","",VLOOKUP($B70,'4.Đơn hàng'!$B:$E,3,0))</f>
        <v/>
      </c>
      <c r="E70" s="61" t="str">
        <f>IF(D70="","",VLOOKUP($D70,'3.Khách hàng'!$A:$I,2,0))</f>
        <v/>
      </c>
      <c r="F70" s="115"/>
      <c r="G70" s="111"/>
      <c r="H70" s="112"/>
      <c r="I70" s="70">
        <f t="shared" si="3"/>
        <v>0</v>
      </c>
      <c r="J70" s="113"/>
      <c r="K70" s="70">
        <f t="shared" si="4"/>
        <v>0</v>
      </c>
      <c r="L70" s="112"/>
      <c r="M70" s="74">
        <f t="shared" si="5"/>
        <v>0</v>
      </c>
      <c r="N70" s="111"/>
    </row>
    <row r="71">
      <c r="A71" s="126"/>
      <c r="B71" s="121"/>
      <c r="C71" s="35" t="str">
        <f>IF(B71="","",VLOOKUP($B71,'4.Đơn hàng'!$B:$N,2,0))</f>
        <v/>
      </c>
      <c r="D71" s="20" t="str">
        <f>IF(C71="","",VLOOKUP($B71,'4.Đơn hàng'!$B:$E,3,0))</f>
        <v/>
      </c>
      <c r="E71" s="61" t="str">
        <f>IF(D71="","",VLOOKUP($D71,'3.Khách hàng'!$A:$I,2,0))</f>
        <v/>
      </c>
      <c r="F71" s="115"/>
      <c r="G71" s="111"/>
      <c r="H71" s="112"/>
      <c r="I71" s="70">
        <f t="shared" si="3"/>
        <v>0</v>
      </c>
      <c r="J71" s="113"/>
      <c r="K71" s="70">
        <f t="shared" si="4"/>
        <v>0</v>
      </c>
      <c r="L71" s="112"/>
      <c r="M71" s="74">
        <f t="shared" si="5"/>
        <v>0</v>
      </c>
      <c r="N71" s="111"/>
    </row>
    <row r="72">
      <c r="A72" s="126"/>
      <c r="B72" s="121"/>
      <c r="C72" s="35" t="str">
        <f>IF(B72="","",VLOOKUP($B72,'4.Đơn hàng'!$B:$N,2,0))</f>
        <v/>
      </c>
      <c r="D72" s="20" t="str">
        <f>IF(C72="","",VLOOKUP($B72,'4.Đơn hàng'!$B:$E,3,0))</f>
        <v/>
      </c>
      <c r="E72" s="61" t="str">
        <f>IF(D72="","",VLOOKUP($D72,'3.Khách hàng'!$A:$I,2,0))</f>
        <v/>
      </c>
      <c r="F72" s="115"/>
      <c r="G72" s="111"/>
      <c r="H72" s="112"/>
      <c r="I72" s="70">
        <f t="shared" si="3"/>
        <v>0</v>
      </c>
      <c r="J72" s="113"/>
      <c r="K72" s="70">
        <f t="shared" si="4"/>
        <v>0</v>
      </c>
      <c r="L72" s="112"/>
      <c r="M72" s="74">
        <f t="shared" si="5"/>
        <v>0</v>
      </c>
      <c r="N72" s="111"/>
    </row>
    <row r="73">
      <c r="A73" s="126"/>
      <c r="B73" s="121"/>
      <c r="C73" s="35" t="str">
        <f>IF(B73="","",VLOOKUP($B73,'4.Đơn hàng'!$B:$N,2,0))</f>
        <v/>
      </c>
      <c r="D73" s="20" t="str">
        <f>IF(C73="","",VLOOKUP($B73,'4.Đơn hàng'!$B:$E,3,0))</f>
        <v/>
      </c>
      <c r="E73" s="61" t="str">
        <f>IF(D73="","",VLOOKUP($D73,'3.Khách hàng'!$A:$I,2,0))</f>
        <v/>
      </c>
      <c r="F73" s="115"/>
      <c r="G73" s="111"/>
      <c r="H73" s="112"/>
      <c r="I73" s="70">
        <f t="shared" si="3"/>
        <v>0</v>
      </c>
      <c r="J73" s="113"/>
      <c r="K73" s="70">
        <f t="shared" si="4"/>
        <v>0</v>
      </c>
      <c r="L73" s="112"/>
      <c r="M73" s="74">
        <f t="shared" si="5"/>
        <v>0</v>
      </c>
      <c r="N73" s="111"/>
    </row>
    <row r="74">
      <c r="A74" s="126"/>
      <c r="B74" s="121"/>
      <c r="C74" s="35" t="str">
        <f>IF(B74="","",VLOOKUP($B74,'4.Đơn hàng'!$B:$N,2,0))</f>
        <v/>
      </c>
      <c r="D74" s="20" t="str">
        <f>IF(C74="","",VLOOKUP($B74,'4.Đơn hàng'!$B:$E,3,0))</f>
        <v/>
      </c>
      <c r="E74" s="61" t="str">
        <f>IF(D74="","",VLOOKUP($D74,'3.Khách hàng'!$A:$I,2,0))</f>
        <v/>
      </c>
      <c r="F74" s="115"/>
      <c r="G74" s="111"/>
      <c r="H74" s="112"/>
      <c r="I74" s="70">
        <f t="shared" si="3"/>
        <v>0</v>
      </c>
      <c r="J74" s="113"/>
      <c r="K74" s="70">
        <f t="shared" si="4"/>
        <v>0</v>
      </c>
      <c r="L74" s="112"/>
      <c r="M74" s="74">
        <f t="shared" si="5"/>
        <v>0</v>
      </c>
      <c r="N74" s="111"/>
    </row>
    <row r="75">
      <c r="A75" s="126"/>
      <c r="B75" s="121"/>
      <c r="C75" s="35" t="str">
        <f>IF(B75="","",VLOOKUP($B75,'4.Đơn hàng'!$B:$N,2,0))</f>
        <v/>
      </c>
      <c r="D75" s="20" t="str">
        <f>IF(C75="","",VLOOKUP($B75,'4.Đơn hàng'!$B:$E,3,0))</f>
        <v/>
      </c>
      <c r="E75" s="61" t="str">
        <f>IF(D75="","",VLOOKUP($D75,'3.Khách hàng'!$A:$I,2,0))</f>
        <v/>
      </c>
      <c r="F75" s="115"/>
      <c r="G75" s="111"/>
      <c r="H75" s="112"/>
      <c r="I75" s="70">
        <f t="shared" si="3"/>
        <v>0</v>
      </c>
      <c r="J75" s="113"/>
      <c r="K75" s="70">
        <f t="shared" si="4"/>
        <v>0</v>
      </c>
      <c r="L75" s="112"/>
      <c r="M75" s="74">
        <f t="shared" si="5"/>
        <v>0</v>
      </c>
      <c r="N75" s="111"/>
    </row>
    <row r="76">
      <c r="A76" s="126"/>
      <c r="B76" s="121"/>
      <c r="C76" s="35" t="str">
        <f>IF(B76="","",VLOOKUP($B76,'4.Đơn hàng'!$B:$N,2,0))</f>
        <v/>
      </c>
      <c r="D76" s="20" t="str">
        <f>IF(C76="","",VLOOKUP($B76,'4.Đơn hàng'!$B:$E,3,0))</f>
        <v/>
      </c>
      <c r="E76" s="61" t="str">
        <f>IF(D76="","",VLOOKUP($D76,'3.Khách hàng'!$A:$I,2,0))</f>
        <v/>
      </c>
      <c r="F76" s="115"/>
      <c r="G76" s="111"/>
      <c r="H76" s="112"/>
      <c r="I76" s="70">
        <f t="shared" si="3"/>
        <v>0</v>
      </c>
      <c r="J76" s="113"/>
      <c r="K76" s="70">
        <f t="shared" si="4"/>
        <v>0</v>
      </c>
      <c r="L76" s="112"/>
      <c r="M76" s="74">
        <f t="shared" si="5"/>
        <v>0</v>
      </c>
      <c r="N76" s="111"/>
    </row>
    <row r="77">
      <c r="A77" s="126"/>
      <c r="B77" s="121"/>
      <c r="C77" s="35" t="str">
        <f>IF(B77="","",VLOOKUP($B77,'4.Đơn hàng'!$B:$N,2,0))</f>
        <v/>
      </c>
      <c r="D77" s="20" t="str">
        <f>IF(C77="","",VLOOKUP($B77,'4.Đơn hàng'!$B:$E,3,0))</f>
        <v/>
      </c>
      <c r="E77" s="61" t="str">
        <f>IF(D77="","",VLOOKUP($D77,'3.Khách hàng'!$A:$I,2,0))</f>
        <v/>
      </c>
      <c r="F77" s="115"/>
      <c r="G77" s="111"/>
      <c r="H77" s="112"/>
      <c r="I77" s="70">
        <f t="shared" si="3"/>
        <v>0</v>
      </c>
      <c r="J77" s="113"/>
      <c r="K77" s="70">
        <f t="shared" si="4"/>
        <v>0</v>
      </c>
      <c r="L77" s="112"/>
      <c r="M77" s="74">
        <f t="shared" si="5"/>
        <v>0</v>
      </c>
      <c r="N77" s="111"/>
    </row>
    <row r="78">
      <c r="A78" s="126"/>
      <c r="B78" s="121"/>
      <c r="C78" s="35" t="str">
        <f>IF(B78="","",VLOOKUP($B78,'4.Đơn hàng'!$B:$N,2,0))</f>
        <v/>
      </c>
      <c r="D78" s="20" t="str">
        <f>IF(C78="","",VLOOKUP($B78,'4.Đơn hàng'!$B:$E,3,0))</f>
        <v/>
      </c>
      <c r="E78" s="61" t="str">
        <f>IF(D78="","",VLOOKUP($D78,'3.Khách hàng'!$A:$I,2,0))</f>
        <v/>
      </c>
      <c r="F78" s="115"/>
      <c r="G78" s="111"/>
      <c r="H78" s="112"/>
      <c r="I78" s="70">
        <f t="shared" si="3"/>
        <v>0</v>
      </c>
      <c r="J78" s="113"/>
      <c r="K78" s="70">
        <f t="shared" si="4"/>
        <v>0</v>
      </c>
      <c r="L78" s="112"/>
      <c r="M78" s="74">
        <f t="shared" si="5"/>
        <v>0</v>
      </c>
      <c r="N78" s="111"/>
    </row>
    <row r="79">
      <c r="A79" s="126"/>
      <c r="B79" s="121"/>
      <c r="C79" s="35" t="str">
        <f>IF(B79="","",VLOOKUP($B79,'4.Đơn hàng'!$B:$N,2,0))</f>
        <v/>
      </c>
      <c r="D79" s="20" t="str">
        <f>IF(C79="","",VLOOKUP($B79,'4.Đơn hàng'!$B:$E,3,0))</f>
        <v/>
      </c>
      <c r="E79" s="61" t="str">
        <f>IF(D79="","",VLOOKUP($D79,'3.Khách hàng'!$A:$I,2,0))</f>
        <v/>
      </c>
      <c r="F79" s="115"/>
      <c r="G79" s="111"/>
      <c r="H79" s="112"/>
      <c r="I79" s="70">
        <f t="shared" si="3"/>
        <v>0</v>
      </c>
      <c r="J79" s="113"/>
      <c r="K79" s="70">
        <f t="shared" si="4"/>
        <v>0</v>
      </c>
      <c r="L79" s="112"/>
      <c r="M79" s="74">
        <f t="shared" si="5"/>
        <v>0</v>
      </c>
      <c r="N79" s="111"/>
    </row>
    <row r="80">
      <c r="A80" s="126"/>
      <c r="B80" s="121"/>
      <c r="C80" s="35" t="str">
        <f>IF(B80="","",VLOOKUP($B80,'4.Đơn hàng'!$B:$N,2,0))</f>
        <v/>
      </c>
      <c r="D80" s="20" t="str">
        <f>IF(C80="","",VLOOKUP($B80,'4.Đơn hàng'!$B:$E,3,0))</f>
        <v/>
      </c>
      <c r="E80" s="61" t="str">
        <f>IF(D80="","",VLOOKUP($D80,'3.Khách hàng'!$A:$I,2,0))</f>
        <v/>
      </c>
      <c r="F80" s="115"/>
      <c r="G80" s="111"/>
      <c r="H80" s="112"/>
      <c r="I80" s="70">
        <f t="shared" si="3"/>
        <v>0</v>
      </c>
      <c r="J80" s="113"/>
      <c r="K80" s="70">
        <f t="shared" si="4"/>
        <v>0</v>
      </c>
      <c r="L80" s="112"/>
      <c r="M80" s="74">
        <f t="shared" si="5"/>
        <v>0</v>
      </c>
      <c r="N80" s="111"/>
    </row>
  </sheetData>
  <autoFilter ref="$A$2:$K$80"/>
  <conditionalFormatting sqref="G3:G80">
    <cfRule type="notContainsBlanks" dxfId="1" priority="1">
      <formula>LEN(TRIM(G3))&gt;0</formula>
    </cfRule>
  </conditionalFormatting>
  <conditionalFormatting sqref="M2:M80">
    <cfRule type="cellIs" dxfId="2" priority="2" operator="greaterThan">
      <formula>0</formula>
    </cfRule>
  </conditionalFormatting>
  <conditionalFormatting sqref="A3:C80 E3:K80">
    <cfRule type="expression" dxfId="0" priority="3">
      <formula>AND($H3&lt;&gt;"",OR($A3="",$D3="",$B3="",$F3="",$J3=""))</formula>
    </cfRule>
  </conditionalFormatting>
  <dataValidations>
    <dataValidation type="list" allowBlank="1" showErrorMessage="1" sqref="B3:B80">
      <formula1>'4.Đơn hàng'!$B$4:$B$52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10.0"/>
    <col customWidth="1" min="3" max="3" width="8.63"/>
    <col customWidth="1" min="4" max="4" width="16.25"/>
    <col customWidth="1" min="5" max="5" width="9.25"/>
    <col customWidth="1" min="6" max="6" width="27.63"/>
    <col customWidth="1" min="8" max="8" width="14.0"/>
    <col customWidth="1" min="9" max="9" width="5.13"/>
    <col customWidth="1" hidden="1" min="11" max="11" width="30.13"/>
  </cols>
  <sheetData>
    <row r="1">
      <c r="A1" s="1" t="s">
        <v>0</v>
      </c>
      <c r="B1" s="5" t="s">
        <v>3</v>
      </c>
      <c r="C1" s="9" t="s">
        <v>7</v>
      </c>
      <c r="D1" s="13" t="s">
        <v>6</v>
      </c>
      <c r="E1" s="13" t="s">
        <v>4</v>
      </c>
      <c r="F1" s="13" t="s">
        <v>27</v>
      </c>
      <c r="G1" s="17" t="s">
        <v>29</v>
      </c>
      <c r="H1" s="21" t="s">
        <v>35</v>
      </c>
      <c r="I1" s="21" t="s">
        <v>28</v>
      </c>
      <c r="J1" s="13" t="s">
        <v>38</v>
      </c>
      <c r="K1" s="25" t="s">
        <v>39</v>
      </c>
    </row>
    <row r="2">
      <c r="A2" s="28"/>
      <c r="B2" s="28"/>
      <c r="C2" s="28"/>
      <c r="D2" s="32"/>
      <c r="E2" s="28"/>
      <c r="F2" s="36"/>
      <c r="G2" s="41">
        <f t="shared" ref="G2:H2" si="1">SUM(G3:G58)</f>
        <v>1128755215</v>
      </c>
      <c r="H2" s="41">
        <f t="shared" si="1"/>
        <v>1045143718</v>
      </c>
      <c r="I2" s="44"/>
      <c r="J2" s="41">
        <f>SUM(J3:J58)</f>
        <v>83611497.41</v>
      </c>
      <c r="K2" s="28"/>
    </row>
    <row r="3">
      <c r="A3" s="46">
        <v>1.0</v>
      </c>
      <c r="B3" s="49">
        <v>46027.0</v>
      </c>
      <c r="C3" s="51" t="s">
        <v>49</v>
      </c>
      <c r="D3" s="32" t="str">
        <f>IF(C3="","",VLOOKUP($C3,'4.Đơn hàng'!$B:$N,2,0))</f>
        <v>NLP Master</v>
      </c>
      <c r="E3" s="20" t="str">
        <f>IF(C3="","",VLOOKUP($C3,'4.Đơn hàng'!$B:$E,3,0))</f>
        <v>KH13</v>
      </c>
      <c r="F3" s="55" t="str">
        <f>IF(E3="","",VLOOKUP($E3,'3.Khách hàng'!$A:$I,2,0))</f>
        <v>LỮ KIỀU ANH</v>
      </c>
      <c r="G3" s="58">
        <v>4.6986E7</v>
      </c>
      <c r="H3" s="60">
        <f t="shared" ref="H3:H58" si="2">G3/(1+I3)</f>
        <v>43505555.56</v>
      </c>
      <c r="I3" s="64">
        <v>0.08</v>
      </c>
      <c r="J3" s="60">
        <f t="shared" ref="J3:J58" si="3">I3*H3</f>
        <v>3480444.444</v>
      </c>
      <c r="K3" s="67" t="s">
        <v>53</v>
      </c>
    </row>
    <row r="4">
      <c r="A4" s="46">
        <v>2.0</v>
      </c>
      <c r="B4" s="49">
        <v>46028.0</v>
      </c>
      <c r="C4" s="51" t="s">
        <v>54</v>
      </c>
      <c r="D4" s="32" t="str">
        <f>IF(C4="","",VLOOKUP($C4,'4.Đơn hàng'!$B:$N,2,0))</f>
        <v>NLP Master</v>
      </c>
      <c r="E4" s="20" t="str">
        <f>IF(C4="","",VLOOKUP($C4,'4.Đơn hàng'!$B:$E,3,0))</f>
        <v>KH14</v>
      </c>
      <c r="F4" s="55" t="str">
        <f>IF(E4="","",VLOOKUP($E4,'3.Khách hàng'!$A:$I,2,0))</f>
        <v>LÊ THỊ BÍCH NGA</v>
      </c>
      <c r="G4" s="58">
        <v>4.6986E7</v>
      </c>
      <c r="H4" s="60">
        <f t="shared" si="2"/>
        <v>43505555.56</v>
      </c>
      <c r="I4" s="64">
        <v>0.08</v>
      </c>
      <c r="J4" s="60">
        <f t="shared" si="3"/>
        <v>3480444.444</v>
      </c>
      <c r="K4" s="67" t="s">
        <v>53</v>
      </c>
    </row>
    <row r="5">
      <c r="A5" s="46">
        <v>3.0</v>
      </c>
      <c r="B5" s="49">
        <v>46041.0</v>
      </c>
      <c r="C5" s="51" t="s">
        <v>55</v>
      </c>
      <c r="D5" s="32" t="str">
        <f>IF(C5="","",VLOOKUP($C5,'4.Đơn hàng'!$B:$N,2,0))</f>
        <v>Business in the Box</v>
      </c>
      <c r="E5" s="20" t="str">
        <f>IF(C5="","",VLOOKUP($C5,'4.Đơn hàng'!$B:$E,3,0))</f>
        <v>KH15</v>
      </c>
      <c r="F5" s="55" t="str">
        <f>IF(E5="","",VLOOKUP($E5,'3.Khách hàng'!$A:$I,2,0))</f>
        <v>NGUYỄN THỊ YẾN</v>
      </c>
      <c r="G5" s="58">
        <v>8.1363391E7</v>
      </c>
      <c r="H5" s="60">
        <f t="shared" si="2"/>
        <v>75336473.15</v>
      </c>
      <c r="I5" s="64">
        <v>0.08</v>
      </c>
      <c r="J5" s="60">
        <f t="shared" si="3"/>
        <v>6026917.852</v>
      </c>
      <c r="K5" s="67" t="s">
        <v>56</v>
      </c>
    </row>
    <row r="6">
      <c r="A6" s="46">
        <v>4.0</v>
      </c>
      <c r="B6" s="49">
        <v>46041.0</v>
      </c>
      <c r="C6" s="51" t="s">
        <v>57</v>
      </c>
      <c r="D6" s="32" t="str">
        <f>IF(C6="","",VLOOKUP($C6,'4.Đơn hàng'!$B:$N,2,0))</f>
        <v>Business in the Box</v>
      </c>
      <c r="E6" s="20" t="str">
        <f>IF(C6="","",VLOOKUP($C6,'4.Đơn hàng'!$B:$E,3,0))</f>
        <v>KH16</v>
      </c>
      <c r="F6" s="55" t="str">
        <f>IF(E6="","",VLOOKUP($E6,'3.Khách hàng'!$A:$I,2,0))</f>
        <v>CÔNG TY TNHH TINH KHÍ VIỆT</v>
      </c>
      <c r="G6" s="58">
        <v>8.1363391E7</v>
      </c>
      <c r="H6" s="60">
        <f t="shared" si="2"/>
        <v>75336473.15</v>
      </c>
      <c r="I6" s="64">
        <v>0.08</v>
      </c>
      <c r="J6" s="60">
        <f t="shared" si="3"/>
        <v>6026917.852</v>
      </c>
      <c r="K6" s="67" t="s">
        <v>56</v>
      </c>
    </row>
    <row r="7">
      <c r="A7" s="46">
        <v>5.0</v>
      </c>
      <c r="B7" s="49">
        <v>46051.0</v>
      </c>
      <c r="C7" s="51" t="s">
        <v>58</v>
      </c>
      <c r="D7" s="32" t="str">
        <f>IF(C7="","",VLOOKUP($C7,'4.Đơn hàng'!$B:$N,2,0))</f>
        <v>Lãnh đạo chuyển hóa</v>
      </c>
      <c r="E7" s="20" t="str">
        <f>IF(C7="","",VLOOKUP($C7,'4.Đơn hàng'!$B:$E,3,0))</f>
        <v>KH17</v>
      </c>
      <c r="F7" s="55" t="str">
        <f>IF(E7="","",VLOOKUP($E7,'3.Khách hàng'!$A:$I,2,0))</f>
        <v>CÔNG TY TNHH PAPASAN VIỆT NAM</v>
      </c>
      <c r="G7" s="58">
        <v>1774801.0</v>
      </c>
      <c r="H7" s="60">
        <f t="shared" si="2"/>
        <v>1643334.259</v>
      </c>
      <c r="I7" s="64">
        <v>0.08</v>
      </c>
      <c r="J7" s="60">
        <f t="shared" si="3"/>
        <v>131466.7407</v>
      </c>
      <c r="K7" s="67" t="s">
        <v>59</v>
      </c>
    </row>
    <row r="8">
      <c r="A8" s="46">
        <v>6.0</v>
      </c>
      <c r="B8" s="49">
        <v>46051.0</v>
      </c>
      <c r="C8" s="51" t="s">
        <v>60</v>
      </c>
      <c r="D8" s="32" t="str">
        <f>IF(C8="","",VLOOKUP($C8,'4.Đơn hàng'!$B:$N,2,0))</f>
        <v>Lãnh đạo chuyển hóa</v>
      </c>
      <c r="E8" s="20" t="str">
        <f>IF(C8="","",VLOOKUP($C8,'4.Đơn hàng'!$B:$E,3,0))</f>
        <v>KH18</v>
      </c>
      <c r="F8" s="55" t="str">
        <f>IF(E8="","",VLOOKUP($E8,'3.Khách hàng'!$A:$I,2,0))</f>
        <v>Khách lẻ (Nguyễn Thị Thắm, Nguyễn Thu Huyền)</v>
      </c>
      <c r="G8" s="58">
        <v>1972000.0</v>
      </c>
      <c r="H8" s="60">
        <f t="shared" si="2"/>
        <v>1825925.926</v>
      </c>
      <c r="I8" s="64">
        <v>0.08</v>
      </c>
      <c r="J8" s="60">
        <f t="shared" si="3"/>
        <v>146074.0741</v>
      </c>
      <c r="K8" s="67" t="s">
        <v>59</v>
      </c>
    </row>
    <row r="9">
      <c r="A9" s="46">
        <v>7.0</v>
      </c>
      <c r="B9" s="49">
        <v>46051.0</v>
      </c>
      <c r="C9" s="51" t="s">
        <v>62</v>
      </c>
      <c r="D9" s="32" t="str">
        <f>IF(C9="","",VLOOKUP($C9,'4.Đơn hàng'!$B:$N,2,0))</f>
        <v>Lãnh đạo chuyển hóa</v>
      </c>
      <c r="E9" s="20" t="str">
        <f>IF(C9="","",VLOOKUP($C9,'4.Đơn hàng'!$B:$E,3,0))</f>
        <v>KH19</v>
      </c>
      <c r="F9" s="55" t="str">
        <f>IF(E9="","",VLOOKUP($E9,'3.Khách hàng'!$A:$I,2,0))</f>
        <v>LÊ NGỌC LINH</v>
      </c>
      <c r="G9" s="58">
        <v>1972000.0</v>
      </c>
      <c r="H9" s="60">
        <f t="shared" si="2"/>
        <v>1825925.926</v>
      </c>
      <c r="I9" s="64">
        <v>0.08</v>
      </c>
      <c r="J9" s="60">
        <f t="shared" si="3"/>
        <v>146074.0741</v>
      </c>
      <c r="K9" s="67" t="s">
        <v>59</v>
      </c>
    </row>
    <row r="10">
      <c r="A10" s="46">
        <v>8.0</v>
      </c>
      <c r="B10" s="49">
        <v>46136.0</v>
      </c>
      <c r="C10" s="51" t="s">
        <v>64</v>
      </c>
      <c r="D10" s="32" t="str">
        <f>IF(C10="","",VLOOKUP($C10,'4.Đơn hàng'!$B:$N,2,0))</f>
        <v>Train The Trainer</v>
      </c>
      <c r="E10" s="20" t="str">
        <f>IF(C10="","",VLOOKUP($C10,'4.Đơn hàng'!$B:$E,3,0))</f>
        <v>KH20</v>
      </c>
      <c r="F10" s="55" t="str">
        <f>IF(E10="","",VLOOKUP($E10,'3.Khách hàng'!$A:$I,2,0))</f>
        <v>PHẠM TRẦN HẢI</v>
      </c>
      <c r="G10" s="58">
        <v>1.20986E8</v>
      </c>
      <c r="H10" s="60">
        <f t="shared" si="2"/>
        <v>112024074.1</v>
      </c>
      <c r="I10" s="64">
        <v>0.08</v>
      </c>
      <c r="J10" s="60">
        <f t="shared" si="3"/>
        <v>8961925.926</v>
      </c>
      <c r="K10" s="67" t="s">
        <v>65</v>
      </c>
    </row>
    <row r="11">
      <c r="A11" s="46">
        <v>9.0</v>
      </c>
      <c r="B11" s="49">
        <v>46155.0</v>
      </c>
      <c r="C11" s="51" t="s">
        <v>66</v>
      </c>
      <c r="D11" s="32" t="str">
        <f>IF(C11="","",VLOOKUP($C11,'4.Đơn hàng'!$B:$N,2,0))</f>
        <v>Lãnh đạo chuyển hóa</v>
      </c>
      <c r="E11" s="20" t="str">
        <f>IF(C11="","",VLOOKUP($C11,'4.Đơn hàng'!$B:$E,3,0))</f>
        <v>KH07</v>
      </c>
      <c r="F11" s="55" t="str">
        <f>IF(E11="","",VLOOKUP($E11,'3.Khách hàng'!$A:$I,2,0))</f>
        <v>DAM THI PHUONG THAO</v>
      </c>
      <c r="G11" s="58">
        <v>597000.0</v>
      </c>
      <c r="H11" s="60">
        <f t="shared" si="2"/>
        <v>552777.7778</v>
      </c>
      <c r="I11" s="64">
        <v>0.08</v>
      </c>
      <c r="J11" s="60">
        <f t="shared" si="3"/>
        <v>44222.22222</v>
      </c>
      <c r="K11" s="67" t="s">
        <v>67</v>
      </c>
    </row>
    <row r="12">
      <c r="A12" s="46">
        <v>10.0</v>
      </c>
      <c r="B12" s="49">
        <v>46156.0</v>
      </c>
      <c r="C12" s="51" t="s">
        <v>68</v>
      </c>
      <c r="D12" s="32" t="str">
        <f>IF(C12="","",VLOOKUP($C12,'4.Đơn hàng'!$B:$N,2,0))</f>
        <v/>
      </c>
      <c r="E12" s="20" t="str">
        <f>IF(C12="","",VLOOKUP($C12,'4.Đơn hàng'!$B:$E,3,0))</f>
        <v/>
      </c>
      <c r="F12" s="55" t="str">
        <f>IF(E12="","",VLOOKUP($E12,'3.Khách hàng'!$A:$I,2,0))</f>
        <v/>
      </c>
      <c r="G12" s="58">
        <v>3.5087E7</v>
      </c>
      <c r="H12" s="60">
        <f t="shared" si="2"/>
        <v>32487962.96</v>
      </c>
      <c r="I12" s="64">
        <v>0.08</v>
      </c>
      <c r="J12" s="60">
        <f t="shared" si="3"/>
        <v>2599037.037</v>
      </c>
      <c r="K12" s="67" t="s">
        <v>69</v>
      </c>
    </row>
    <row r="13">
      <c r="A13" s="46">
        <v>11.0</v>
      </c>
      <c r="B13" s="49">
        <v>46156.0</v>
      </c>
      <c r="C13" s="51" t="s">
        <v>70</v>
      </c>
      <c r="D13" s="32" t="str">
        <f>IF(C13="","",VLOOKUP($C13,'4.Đơn hàng'!$B:$N,2,0))</f>
        <v>NLP Master</v>
      </c>
      <c r="E13" s="20" t="str">
        <f>IF(C13="","",VLOOKUP($C13,'4.Đơn hàng'!$B:$E,3,0))</f>
        <v>KH27</v>
      </c>
      <c r="F13" s="55" t="str">
        <f>IF(E13="","",VLOOKUP($E13,'3.Khách hàng'!$A:$I,2,0))</f>
        <v>CÔNG TY TNHH JEJU SKIN VIỆT NAM</v>
      </c>
      <c r="G13" s="58">
        <v>2.5E7</v>
      </c>
      <c r="H13" s="60">
        <f t="shared" si="2"/>
        <v>23148148.15</v>
      </c>
      <c r="I13" s="64">
        <v>0.08</v>
      </c>
      <c r="J13" s="60">
        <f t="shared" si="3"/>
        <v>1851851.852</v>
      </c>
      <c r="K13" s="67" t="s">
        <v>71</v>
      </c>
    </row>
    <row r="14">
      <c r="A14" s="46">
        <v>12.0</v>
      </c>
      <c r="B14" s="49">
        <v>46160.0</v>
      </c>
      <c r="C14" s="51" t="s">
        <v>72</v>
      </c>
      <c r="D14" s="32" t="str">
        <f>IF(C14="","",VLOOKUP($C14,'4.Đơn hàng'!$B:$N,2,0))</f>
        <v>NLP Practitioner</v>
      </c>
      <c r="E14" s="20" t="str">
        <f>IF(C14="","",VLOOKUP($C14,'4.Đơn hàng'!$B:$E,3,0))</f>
        <v>KH27</v>
      </c>
      <c r="F14" s="55" t="str">
        <f>IF(E14="","",VLOOKUP($E14,'3.Khách hàng'!$A:$I,2,0))</f>
        <v>CÔNG TY TNHH JEJU SKIN VIỆT NAM</v>
      </c>
      <c r="G14" s="58">
        <v>3.32874E7</v>
      </c>
      <c r="H14" s="60">
        <f t="shared" si="2"/>
        <v>30821666.67</v>
      </c>
      <c r="I14" s="64">
        <v>0.08</v>
      </c>
      <c r="J14" s="60">
        <f t="shared" si="3"/>
        <v>2465733.333</v>
      </c>
      <c r="K14" s="67" t="s">
        <v>73</v>
      </c>
    </row>
    <row r="15">
      <c r="A15" s="46">
        <v>13.0</v>
      </c>
      <c r="B15" s="49">
        <v>46160.0</v>
      </c>
      <c r="C15" s="51" t="s">
        <v>75</v>
      </c>
      <c r="D15" s="32" t="str">
        <f>IF(C15="","",VLOOKUP($C15,'4.Đơn hàng'!$B:$N,2,0))</f>
        <v>NLP Practitioner</v>
      </c>
      <c r="E15" s="20" t="str">
        <f>IF(C15="","",VLOOKUP($C15,'4.Đơn hàng'!$B:$E,3,0))</f>
        <v>KH24</v>
      </c>
      <c r="F15" s="55" t="str">
        <f>IF(E15="","",VLOOKUP($E15,'3.Khách hàng'!$A:$I,2,0))</f>
        <v>CÔNG TY CỔ PHẦN DỊCH VỤ TÀI CHÍNH MINH TRÍ</v>
      </c>
      <c r="G15" s="58">
        <v>3.6986E7</v>
      </c>
      <c r="H15" s="60">
        <f t="shared" si="2"/>
        <v>34246296.3</v>
      </c>
      <c r="I15" s="64">
        <v>0.08</v>
      </c>
      <c r="J15" s="60">
        <f t="shared" si="3"/>
        <v>2739703.704</v>
      </c>
      <c r="K15" s="67" t="s">
        <v>69</v>
      </c>
    </row>
    <row r="16">
      <c r="A16" s="46">
        <v>14.0</v>
      </c>
      <c r="B16" s="88">
        <v>46160.0</v>
      </c>
      <c r="C16" s="51" t="s">
        <v>76</v>
      </c>
      <c r="D16" s="32" t="str">
        <f>IF(C16="","",VLOOKUP($C16,'4.Đơn hàng'!$B:$N,2,0))</f>
        <v>Train The Trainer</v>
      </c>
      <c r="E16" s="20" t="str">
        <f>IF(C16="","",VLOOKUP($C16,'4.Đơn hàng'!$B:$E,3,0))</f>
        <v>KH01</v>
      </c>
      <c r="F16" s="55" t="str">
        <f>IF(E16="","",VLOOKUP($E16,'3.Khách hàng'!$A:$I,2,0))</f>
        <v>MAI THUY PHUONG</v>
      </c>
      <c r="G16" s="90">
        <v>5000000.0</v>
      </c>
      <c r="H16" s="60">
        <f t="shared" si="2"/>
        <v>4629629.63</v>
      </c>
      <c r="I16" s="64">
        <v>0.08</v>
      </c>
      <c r="J16" s="60">
        <f t="shared" si="3"/>
        <v>370370.3704</v>
      </c>
      <c r="K16" s="67"/>
    </row>
    <row r="17">
      <c r="A17" s="46">
        <v>15.0</v>
      </c>
      <c r="B17" s="88">
        <v>46167.0</v>
      </c>
      <c r="C17" s="51" t="s">
        <v>79</v>
      </c>
      <c r="D17" s="32" t="str">
        <f>IF(C17="","",VLOOKUP($C17,'4.Đơn hàng'!$B:$N,2,0))</f>
        <v>NLP Practitioner</v>
      </c>
      <c r="E17" s="20" t="str">
        <f>IF(C17="","",VLOOKUP($C17,'4.Đơn hàng'!$B:$E,3,0))</f>
        <v>KH25</v>
      </c>
      <c r="F17" s="55" t="str">
        <f>IF(E17="","",VLOOKUP($E17,'3.Khách hàng'!$A:$I,2,0))</f>
        <v>NGUYỄN NGỌC HÀ</v>
      </c>
      <c r="G17" s="90">
        <v>1.997244E7</v>
      </c>
      <c r="H17" s="60">
        <f t="shared" si="2"/>
        <v>18493000</v>
      </c>
      <c r="I17" s="93">
        <v>0.08</v>
      </c>
      <c r="J17" s="60">
        <f t="shared" si="3"/>
        <v>1479440</v>
      </c>
      <c r="K17" s="67" t="s">
        <v>69</v>
      </c>
    </row>
    <row r="18">
      <c r="A18" s="95">
        <v>16.0</v>
      </c>
      <c r="B18" s="96">
        <v>46177.0</v>
      </c>
      <c r="C18" s="51" t="s">
        <v>85</v>
      </c>
      <c r="D18" s="32" t="str">
        <f>IF(C18="","",VLOOKUP($C18,'4.Đơn hàng'!$B:$N,2,0))</f>
        <v>NLP Practitioner</v>
      </c>
      <c r="E18" s="20" t="str">
        <f>IF(C18="","",VLOOKUP($C18,'4.Đơn hàng'!$B:$E,3,0))</f>
        <v>KH31</v>
      </c>
      <c r="F18" s="55" t="str">
        <f>IF(E18="","",VLOOKUP($E18,'3.Khách hàng'!$A:$I,2,0))</f>
        <v>NGUYỄN THỊ KIM</v>
      </c>
      <c r="G18" s="98">
        <v>3.32874E7</v>
      </c>
      <c r="H18" s="60">
        <f t="shared" si="2"/>
        <v>30821666.67</v>
      </c>
      <c r="I18" s="93">
        <v>0.08</v>
      </c>
      <c r="J18" s="60">
        <f t="shared" si="3"/>
        <v>2465733.333</v>
      </c>
      <c r="K18" s="67"/>
    </row>
    <row r="19">
      <c r="A19" s="95">
        <v>17.0</v>
      </c>
      <c r="B19" s="96">
        <v>46178.0</v>
      </c>
      <c r="C19" s="51" t="s">
        <v>87</v>
      </c>
      <c r="D19" s="32" t="str">
        <f>IF(C19="","",VLOOKUP($C19,'4.Đơn hàng'!$B:$N,2,0))</f>
        <v>NLP Master</v>
      </c>
      <c r="E19" s="20" t="str">
        <f>IF(C19="","",VLOOKUP($C19,'4.Đơn hàng'!$B:$E,3,0))</f>
        <v>KH22</v>
      </c>
      <c r="F19" s="55" t="str">
        <f>IF(E19="","",VLOOKUP($E19,'3.Khách hàng'!$A:$I,2,0))</f>
        <v>NGUYỄN THỊ HIÊN</v>
      </c>
      <c r="G19" s="98">
        <v>4.6986E7</v>
      </c>
      <c r="H19" s="60">
        <f t="shared" si="2"/>
        <v>43505555.56</v>
      </c>
      <c r="I19" s="100">
        <v>0.08</v>
      </c>
      <c r="J19" s="60">
        <f t="shared" si="3"/>
        <v>3480444.444</v>
      </c>
      <c r="K19" s="67" t="s">
        <v>71</v>
      </c>
    </row>
    <row r="20">
      <c r="A20" s="95">
        <v>18.0</v>
      </c>
      <c r="B20" s="88">
        <v>46178.0</v>
      </c>
      <c r="C20" s="51" t="s">
        <v>92</v>
      </c>
      <c r="D20" s="32" t="str">
        <f>IF(C20="","",VLOOKUP($C20,'4.Đơn hàng'!$B:$N,2,0))</f>
        <v>NLP Master</v>
      </c>
      <c r="E20" s="20" t="str">
        <f>IF(C20="","",VLOOKUP($C20,'4.Đơn hàng'!$B:$E,3,0))</f>
        <v>KH24</v>
      </c>
      <c r="F20" s="55" t="str">
        <f>IF(E20="","",VLOOKUP($E20,'3.Khách hàng'!$A:$I,2,0))</f>
        <v>CÔNG TY CỔ PHẦN DỊCH VỤ TÀI CHÍNH MINH TRÍ</v>
      </c>
      <c r="G20" s="98">
        <v>5.07448E7</v>
      </c>
      <c r="H20" s="60">
        <f t="shared" si="2"/>
        <v>46985925.93</v>
      </c>
      <c r="I20" s="100">
        <v>0.08</v>
      </c>
      <c r="J20" s="60">
        <f t="shared" si="3"/>
        <v>3758874.074</v>
      </c>
      <c r="K20" s="67" t="s">
        <v>71</v>
      </c>
    </row>
    <row r="21">
      <c r="A21" s="102">
        <v>19.0</v>
      </c>
      <c r="B21" s="96">
        <v>46202.0</v>
      </c>
      <c r="C21" s="51" t="s">
        <v>98</v>
      </c>
      <c r="D21" s="32" t="str">
        <f>IF(C21="","",VLOOKUP($C21,'4.Đơn hàng'!$B:$N,2,0))</f>
        <v>Train The Trainer</v>
      </c>
      <c r="E21" s="20" t="str">
        <f>IF(C21="","",VLOOKUP($C21,'4.Đơn hàng'!$B:$E,3,0))</f>
        <v>KH23</v>
      </c>
      <c r="F21" s="55" t="str">
        <f>IF(E21="","",VLOOKUP($E21,'3.Khách hàng'!$A:$I,2,0))</f>
        <v>HỘ KINH DOANH NGUYỄN THANH HÙNG</v>
      </c>
      <c r="G21" s="98">
        <v>1.3931E8</v>
      </c>
      <c r="H21" s="60">
        <f t="shared" si="2"/>
        <v>128990740.7</v>
      </c>
      <c r="I21" s="100">
        <v>0.08</v>
      </c>
      <c r="J21" s="60">
        <f t="shared" si="3"/>
        <v>10319259.26</v>
      </c>
      <c r="K21" s="104" t="s">
        <v>100</v>
      </c>
    </row>
    <row r="22">
      <c r="A22" s="95">
        <v>20.0</v>
      </c>
      <c r="B22" s="96">
        <v>46227.0</v>
      </c>
      <c r="C22" s="51" t="s">
        <v>102</v>
      </c>
      <c r="D22" s="32" t="str">
        <f>IF(C22="","",VLOOKUP($C22,'4.Đơn hàng'!$B:$N,2,0))</f>
        <v>NLP Practitioner</v>
      </c>
      <c r="E22" s="20" t="str">
        <f>IF(C22="","",VLOOKUP($C22,'4.Đơn hàng'!$B:$E,3,0))</f>
        <v>KH28</v>
      </c>
      <c r="F22" s="55" t="str">
        <f>IF(E22="","",VLOOKUP($E22,'3.Khách hàng'!$A:$I,2,0))</f>
        <v>VÕ TẤN LỢI</v>
      </c>
      <c r="G22" s="98">
        <v>3.7894392E7</v>
      </c>
      <c r="H22" s="60">
        <f t="shared" si="2"/>
        <v>35087400</v>
      </c>
      <c r="I22" s="100">
        <v>0.08</v>
      </c>
      <c r="J22" s="60">
        <f t="shared" si="3"/>
        <v>2806992</v>
      </c>
      <c r="K22" s="51" t="s">
        <v>105</v>
      </c>
    </row>
    <row r="23">
      <c r="A23" s="95">
        <v>21.0</v>
      </c>
      <c r="B23" s="96">
        <v>46235.0</v>
      </c>
      <c r="C23" s="51" t="s">
        <v>52</v>
      </c>
      <c r="D23" s="32" t="str">
        <f>IF(C23="","",VLOOKUP($C23,'4.Đơn hàng'!$B:$N,2,0))</f>
        <v>Business in the Box</v>
      </c>
      <c r="E23" s="20" t="str">
        <f>IF(C23="","",VLOOKUP($C23,'4.Đơn hàng'!$B:$E,3,0))</f>
        <v>KH23</v>
      </c>
      <c r="F23" s="55" t="str">
        <f>IF(E23="","",VLOOKUP($E23,'3.Khách hàng'!$A:$I,2,0))</f>
        <v>HỘ KINH DOANH NGUYỄN THANH HÙNG</v>
      </c>
      <c r="G23" s="98">
        <v>6.37332E7</v>
      </c>
      <c r="H23" s="60">
        <f t="shared" si="2"/>
        <v>59012222.22</v>
      </c>
      <c r="I23" s="100">
        <v>0.08</v>
      </c>
      <c r="J23" s="60">
        <f t="shared" si="3"/>
        <v>4720977.778</v>
      </c>
      <c r="K23" s="51" t="s">
        <v>77</v>
      </c>
    </row>
    <row r="24">
      <c r="A24" s="95">
        <v>22.0</v>
      </c>
      <c r="B24" s="96">
        <v>46235.0</v>
      </c>
      <c r="C24" s="51" t="s">
        <v>48</v>
      </c>
      <c r="D24" s="32" t="str">
        <f>IF(C24="","",VLOOKUP($C24,'4.Đơn hàng'!$B:$N,2,0))</f>
        <v>Business in the Box</v>
      </c>
      <c r="E24" s="20" t="str">
        <f>IF(C24="","",VLOOKUP($C24,'4.Đơn hàng'!$B:$E,3,0))</f>
        <v>KH22</v>
      </c>
      <c r="F24" s="55" t="str">
        <f>IF(E24="","",VLOOKUP($E24,'3.Khách hàng'!$A:$I,2,0))</f>
        <v>NGUYỄN THỊ HIÊN</v>
      </c>
      <c r="G24" s="98">
        <v>9.3733E7</v>
      </c>
      <c r="H24" s="60">
        <f t="shared" si="2"/>
        <v>86789814.81</v>
      </c>
      <c r="I24" s="100">
        <v>0.08</v>
      </c>
      <c r="J24" s="60">
        <f t="shared" si="3"/>
        <v>6943185.185</v>
      </c>
      <c r="K24" s="51" t="s">
        <v>77</v>
      </c>
    </row>
    <row r="25">
      <c r="A25" s="95">
        <v>23.0</v>
      </c>
      <c r="B25" s="96">
        <v>46235.0</v>
      </c>
      <c r="C25" s="51" t="s">
        <v>41</v>
      </c>
      <c r="D25" s="32" t="str">
        <f>IF(C25="","",VLOOKUP($C25,'4.Đơn hàng'!$B:$N,2,0))</f>
        <v>Business in the Box</v>
      </c>
      <c r="E25" s="20" t="str">
        <f>IF(C25="","",VLOOKUP($C25,'4.Đơn hàng'!$B:$E,3,0))</f>
        <v>KH20</v>
      </c>
      <c r="F25" s="55" t="str">
        <f>IF(E25="","",VLOOKUP($E25,'3.Khách hàng'!$A:$I,2,0))</f>
        <v>PHẠM TRẦN HẢI</v>
      </c>
      <c r="G25" s="98">
        <v>9.3733E7</v>
      </c>
      <c r="H25" s="60">
        <f t="shared" si="2"/>
        <v>86789814.81</v>
      </c>
      <c r="I25" s="100">
        <v>0.08</v>
      </c>
      <c r="J25" s="60">
        <f t="shared" si="3"/>
        <v>6943185.185</v>
      </c>
      <c r="K25" s="51" t="s">
        <v>77</v>
      </c>
    </row>
    <row r="26">
      <c r="A26" s="95">
        <v>24.0</v>
      </c>
      <c r="B26" s="96">
        <v>46227.0</v>
      </c>
      <c r="C26" s="51" t="s">
        <v>52</v>
      </c>
      <c r="D26" s="32" t="str">
        <f>IF(C26="","",VLOOKUP($C26,'4.Đơn hàng'!$B:$N,2,0))</f>
        <v>Business in the Box</v>
      </c>
      <c r="E26" s="20" t="str">
        <f>IF(C26="","",VLOOKUP($C26,'4.Đơn hàng'!$B:$E,3,0))</f>
        <v>KH23</v>
      </c>
      <c r="F26" s="55" t="str">
        <f>IF(E26="","",VLOOKUP($E26,'3.Khách hàng'!$A:$I,2,0))</f>
        <v>HỘ KINH DOANH NGUYỄN THANH HÙNG</v>
      </c>
      <c r="G26" s="98">
        <v>3.0E7</v>
      </c>
      <c r="H26" s="60">
        <f t="shared" si="2"/>
        <v>27777777.78</v>
      </c>
      <c r="I26" s="100">
        <v>0.08</v>
      </c>
      <c r="J26" s="60">
        <f t="shared" si="3"/>
        <v>2222222.222</v>
      </c>
      <c r="K26" s="51" t="s">
        <v>77</v>
      </c>
    </row>
    <row r="27">
      <c r="A27" s="28"/>
      <c r="B27" s="28"/>
      <c r="C27" s="28"/>
      <c r="D27" s="32" t="str">
        <f>IF(C27="","",VLOOKUP($C27,'4.Đơn hàng'!$B:$N,2,0))</f>
        <v/>
      </c>
      <c r="E27" s="20" t="str">
        <f>IF(C27="","",VLOOKUP($C27,'4.Đơn hàng'!$B:$E,3,0))</f>
        <v/>
      </c>
      <c r="F27" s="55" t="str">
        <f>IF(E27="","",VLOOKUP($E27,'3.Khách hàng'!$A:$I,2,0))</f>
        <v/>
      </c>
      <c r="G27" s="28"/>
      <c r="H27" s="60">
        <f t="shared" si="2"/>
        <v>0</v>
      </c>
      <c r="I27" s="100">
        <v>0.08</v>
      </c>
      <c r="J27" s="60">
        <f t="shared" si="3"/>
        <v>0</v>
      </c>
      <c r="K27" s="28"/>
    </row>
    <row r="28">
      <c r="A28" s="28"/>
      <c r="B28" s="28"/>
      <c r="C28" s="28"/>
      <c r="D28" s="32" t="str">
        <f>IF(C28="","",VLOOKUP($C28,'4.Đơn hàng'!$B:$N,2,0))</f>
        <v/>
      </c>
      <c r="E28" s="20" t="str">
        <f>IF(C28="","",VLOOKUP($C28,'4.Đơn hàng'!$B:$E,3,0))</f>
        <v/>
      </c>
      <c r="F28" s="55" t="str">
        <f>IF(E28="","",VLOOKUP($E28,'3.Khách hàng'!$A:$I,2,0))</f>
        <v/>
      </c>
      <c r="G28" s="28"/>
      <c r="H28" s="60">
        <f t="shared" si="2"/>
        <v>0</v>
      </c>
      <c r="I28" s="100">
        <v>0.08</v>
      </c>
      <c r="J28" s="60">
        <f t="shared" si="3"/>
        <v>0</v>
      </c>
      <c r="K28" s="28"/>
    </row>
    <row r="29">
      <c r="A29" s="28"/>
      <c r="B29" s="28"/>
      <c r="C29" s="28"/>
      <c r="D29" s="32" t="str">
        <f>IF(C29="","",VLOOKUP($C29,'4.Đơn hàng'!$B:$N,2,0))</f>
        <v/>
      </c>
      <c r="E29" s="20" t="str">
        <f>IF(C29="","",VLOOKUP($C29,'4.Đơn hàng'!$B:$E,3,0))</f>
        <v/>
      </c>
      <c r="F29" s="55" t="str">
        <f>IF(E29="","",VLOOKUP($E29,'3.Khách hàng'!$A:$I,2,0))</f>
        <v/>
      </c>
      <c r="G29" s="28"/>
      <c r="H29" s="60">
        <f t="shared" si="2"/>
        <v>0</v>
      </c>
      <c r="I29" s="100">
        <v>0.08</v>
      </c>
      <c r="J29" s="60">
        <f t="shared" si="3"/>
        <v>0</v>
      </c>
      <c r="K29" s="28"/>
    </row>
    <row r="30">
      <c r="A30" s="28"/>
      <c r="B30" s="28"/>
      <c r="C30" s="28"/>
      <c r="D30" s="32" t="str">
        <f>IF(C30="","",VLOOKUP($C30,'4.Đơn hàng'!$B:$N,2,0))</f>
        <v/>
      </c>
      <c r="E30" s="20" t="str">
        <f>IF(C30="","",VLOOKUP($C30,'4.Đơn hàng'!$B:$E,3,0))</f>
        <v/>
      </c>
      <c r="F30" s="55" t="str">
        <f>IF(E30="","",VLOOKUP($E30,'3.Khách hàng'!$A:$I,2,0))</f>
        <v/>
      </c>
      <c r="G30" s="28"/>
      <c r="H30" s="60">
        <f t="shared" si="2"/>
        <v>0</v>
      </c>
      <c r="I30" s="100">
        <v>0.08</v>
      </c>
      <c r="J30" s="60">
        <f t="shared" si="3"/>
        <v>0</v>
      </c>
      <c r="K30" s="28"/>
    </row>
    <row r="31">
      <c r="A31" s="28"/>
      <c r="B31" s="28"/>
      <c r="C31" s="28"/>
      <c r="D31" s="32" t="str">
        <f>IF(C31="","",VLOOKUP($C31,'4.Đơn hàng'!$B:$N,2,0))</f>
        <v/>
      </c>
      <c r="E31" s="20" t="str">
        <f>IF(C31="","",VLOOKUP($C31,'4.Đơn hàng'!$B:$E,3,0))</f>
        <v/>
      </c>
      <c r="F31" s="55" t="str">
        <f>IF(E31="","",VLOOKUP($E31,'3.Khách hàng'!$A:$I,2,0))</f>
        <v/>
      </c>
      <c r="G31" s="28"/>
      <c r="H31" s="60">
        <f t="shared" si="2"/>
        <v>0</v>
      </c>
      <c r="I31" s="100">
        <v>0.08</v>
      </c>
      <c r="J31" s="60">
        <f t="shared" si="3"/>
        <v>0</v>
      </c>
      <c r="K31" s="28"/>
    </row>
    <row r="32">
      <c r="A32" s="28"/>
      <c r="B32" s="28"/>
      <c r="C32" s="28"/>
      <c r="D32" s="32" t="str">
        <f>IF(C32="","",VLOOKUP($C32,'4.Đơn hàng'!$B:$N,2,0))</f>
        <v/>
      </c>
      <c r="E32" s="20" t="str">
        <f>IF(C32="","",VLOOKUP($C32,'4.Đơn hàng'!$B:$E,3,0))</f>
        <v/>
      </c>
      <c r="F32" s="55" t="str">
        <f>IF(E32="","",VLOOKUP($E32,'3.Khách hàng'!$A:$I,2,0))</f>
        <v/>
      </c>
      <c r="G32" s="28"/>
      <c r="H32" s="60">
        <f t="shared" si="2"/>
        <v>0</v>
      </c>
      <c r="I32" s="100">
        <v>0.08</v>
      </c>
      <c r="J32" s="60">
        <f t="shared" si="3"/>
        <v>0</v>
      </c>
      <c r="K32" s="28"/>
    </row>
    <row r="33">
      <c r="A33" s="28"/>
      <c r="B33" s="28"/>
      <c r="C33" s="28"/>
      <c r="D33" s="32" t="str">
        <f>IF(C33="","",VLOOKUP($C33,'4.Đơn hàng'!$B:$N,2,0))</f>
        <v/>
      </c>
      <c r="E33" s="20" t="str">
        <f>IF(C33="","",VLOOKUP($C33,'4.Đơn hàng'!$B:$E,3,0))</f>
        <v/>
      </c>
      <c r="F33" s="55" t="str">
        <f>IF(E33="","",VLOOKUP($E33,'3.Khách hàng'!$A:$I,2,0))</f>
        <v/>
      </c>
      <c r="G33" s="28"/>
      <c r="H33" s="60">
        <f t="shared" si="2"/>
        <v>0</v>
      </c>
      <c r="I33" s="100">
        <v>0.08</v>
      </c>
      <c r="J33" s="60">
        <f t="shared" si="3"/>
        <v>0</v>
      </c>
      <c r="K33" s="28"/>
    </row>
    <row r="34">
      <c r="A34" s="28"/>
      <c r="B34" s="28"/>
      <c r="C34" s="28"/>
      <c r="D34" s="32" t="str">
        <f>IF(C34="","",VLOOKUP($C34,'4.Đơn hàng'!$B:$N,2,0))</f>
        <v/>
      </c>
      <c r="E34" s="20" t="str">
        <f>IF(C34="","",VLOOKUP($C34,'4.Đơn hàng'!$B:$E,3,0))</f>
        <v/>
      </c>
      <c r="F34" s="55" t="str">
        <f>IF(E34="","",VLOOKUP($E34,'3.Khách hàng'!$A:$I,2,0))</f>
        <v/>
      </c>
      <c r="G34" s="28"/>
      <c r="H34" s="60">
        <f t="shared" si="2"/>
        <v>0</v>
      </c>
      <c r="I34" s="100">
        <v>0.08</v>
      </c>
      <c r="J34" s="60">
        <f t="shared" si="3"/>
        <v>0</v>
      </c>
      <c r="K34" s="28"/>
    </row>
    <row r="35">
      <c r="A35" s="28"/>
      <c r="B35" s="28"/>
      <c r="C35" s="28"/>
      <c r="D35" s="32" t="str">
        <f>IF(C35="","",VLOOKUP($C35,'4.Đơn hàng'!$B:$N,2,0))</f>
        <v/>
      </c>
      <c r="E35" s="20" t="str">
        <f>IF(C35="","",VLOOKUP($C35,'4.Đơn hàng'!$B:$E,3,0))</f>
        <v/>
      </c>
      <c r="F35" s="55" t="str">
        <f>IF(E35="","",VLOOKUP($E35,'3.Khách hàng'!$A:$I,2,0))</f>
        <v/>
      </c>
      <c r="G35" s="28"/>
      <c r="H35" s="60">
        <f t="shared" si="2"/>
        <v>0</v>
      </c>
      <c r="I35" s="100">
        <v>0.08</v>
      </c>
      <c r="J35" s="60">
        <f t="shared" si="3"/>
        <v>0</v>
      </c>
      <c r="K35" s="28"/>
    </row>
    <row r="36">
      <c r="A36" s="28"/>
      <c r="B36" s="28"/>
      <c r="C36" s="28"/>
      <c r="D36" s="32" t="str">
        <f>IF(C36="","",VLOOKUP($C36,'4.Đơn hàng'!$B:$N,2,0))</f>
        <v/>
      </c>
      <c r="E36" s="20" t="str">
        <f>IF(C36="","",VLOOKUP($C36,'4.Đơn hàng'!$B:$E,3,0))</f>
        <v/>
      </c>
      <c r="F36" s="55" t="str">
        <f>IF(E36="","",VLOOKUP($E36,'3.Khách hàng'!$A:$I,2,0))</f>
        <v/>
      </c>
      <c r="G36" s="28"/>
      <c r="H36" s="60">
        <f t="shared" si="2"/>
        <v>0</v>
      </c>
      <c r="I36" s="100">
        <v>0.08</v>
      </c>
      <c r="J36" s="60">
        <f t="shared" si="3"/>
        <v>0</v>
      </c>
      <c r="K36" s="28"/>
    </row>
    <row r="37">
      <c r="A37" s="28"/>
      <c r="B37" s="28"/>
      <c r="C37" s="28"/>
      <c r="D37" s="32" t="str">
        <f>IF(C37="","",VLOOKUP($C37,'4.Đơn hàng'!$B:$N,2,0))</f>
        <v/>
      </c>
      <c r="E37" s="20" t="str">
        <f>IF(C37="","",VLOOKUP($C37,'4.Đơn hàng'!$B:$E,3,0))</f>
        <v/>
      </c>
      <c r="F37" s="55" t="str">
        <f>IF(E37="","",VLOOKUP($E37,'3.Khách hàng'!$A:$I,2,0))</f>
        <v/>
      </c>
      <c r="G37" s="28"/>
      <c r="H37" s="60">
        <f t="shared" si="2"/>
        <v>0</v>
      </c>
      <c r="I37" s="100">
        <v>0.08</v>
      </c>
      <c r="J37" s="60">
        <f t="shared" si="3"/>
        <v>0</v>
      </c>
      <c r="K37" s="28"/>
    </row>
    <row r="38">
      <c r="A38" s="28"/>
      <c r="B38" s="28"/>
      <c r="C38" s="28"/>
      <c r="D38" s="32" t="str">
        <f>IF(C38="","",VLOOKUP($C38,'4.Đơn hàng'!$B:$N,2,0))</f>
        <v/>
      </c>
      <c r="E38" s="20" t="str">
        <f>IF(C38="","",VLOOKUP($C38,'4.Đơn hàng'!$B:$E,3,0))</f>
        <v/>
      </c>
      <c r="F38" s="55" t="str">
        <f>IF(E38="","",VLOOKUP($E38,'3.Khách hàng'!$A:$I,2,0))</f>
        <v/>
      </c>
      <c r="G38" s="28"/>
      <c r="H38" s="60">
        <f t="shared" si="2"/>
        <v>0</v>
      </c>
      <c r="I38" s="100">
        <v>0.08</v>
      </c>
      <c r="J38" s="60">
        <f t="shared" si="3"/>
        <v>0</v>
      </c>
      <c r="K38" s="28"/>
    </row>
    <row r="39">
      <c r="A39" s="28"/>
      <c r="B39" s="28"/>
      <c r="C39" s="28"/>
      <c r="D39" s="32" t="str">
        <f>IF(C39="","",VLOOKUP($C39,'4.Đơn hàng'!$B:$N,2,0))</f>
        <v/>
      </c>
      <c r="E39" s="20" t="str">
        <f>IF(C39="","",VLOOKUP($C39,'4.Đơn hàng'!$B:$E,3,0))</f>
        <v/>
      </c>
      <c r="F39" s="55" t="str">
        <f>IF(E39="","",VLOOKUP($E39,'3.Khách hàng'!$A:$I,2,0))</f>
        <v/>
      </c>
      <c r="G39" s="28"/>
      <c r="H39" s="60">
        <f t="shared" si="2"/>
        <v>0</v>
      </c>
      <c r="I39" s="100">
        <v>0.08</v>
      </c>
      <c r="J39" s="60">
        <f t="shared" si="3"/>
        <v>0</v>
      </c>
      <c r="K39" s="28"/>
    </row>
    <row r="40">
      <c r="A40" s="28"/>
      <c r="B40" s="28"/>
      <c r="C40" s="28"/>
      <c r="D40" s="32" t="str">
        <f>IF(C40="","",VLOOKUP($C40,'4.Đơn hàng'!$B:$N,2,0))</f>
        <v/>
      </c>
      <c r="E40" s="20" t="str">
        <f>IF(C40="","",VLOOKUP($C40,'4.Đơn hàng'!$B:$E,3,0))</f>
        <v/>
      </c>
      <c r="F40" s="55" t="str">
        <f>IF(E40="","",VLOOKUP($E40,'3.Khách hàng'!$A:$I,2,0))</f>
        <v/>
      </c>
      <c r="G40" s="28"/>
      <c r="H40" s="60">
        <f t="shared" si="2"/>
        <v>0</v>
      </c>
      <c r="I40" s="100">
        <v>0.08</v>
      </c>
      <c r="J40" s="60">
        <f t="shared" si="3"/>
        <v>0</v>
      </c>
      <c r="K40" s="28"/>
    </row>
    <row r="41">
      <c r="A41" s="28"/>
      <c r="B41" s="28"/>
      <c r="C41" s="28"/>
      <c r="D41" s="32" t="str">
        <f>IF(C41="","",VLOOKUP($C41,'4.Đơn hàng'!$B:$N,2,0))</f>
        <v/>
      </c>
      <c r="E41" s="20" t="str">
        <f>IF(C41="","",VLOOKUP($C41,'4.Đơn hàng'!$B:$E,3,0))</f>
        <v/>
      </c>
      <c r="F41" s="55" t="str">
        <f>IF(E41="","",VLOOKUP($E41,'3.Khách hàng'!$A:$I,2,0))</f>
        <v/>
      </c>
      <c r="G41" s="28"/>
      <c r="H41" s="60">
        <f t="shared" si="2"/>
        <v>0</v>
      </c>
      <c r="I41" s="100">
        <v>0.08</v>
      </c>
      <c r="J41" s="60">
        <f t="shared" si="3"/>
        <v>0</v>
      </c>
      <c r="K41" s="28"/>
    </row>
    <row r="42">
      <c r="A42" s="28"/>
      <c r="B42" s="28"/>
      <c r="C42" s="28"/>
      <c r="D42" s="32" t="str">
        <f>IF(C42="","",VLOOKUP($C42,'4.Đơn hàng'!$B:$N,2,0))</f>
        <v/>
      </c>
      <c r="E42" s="20" t="str">
        <f>IF(C42="","",VLOOKUP($C42,'4.Đơn hàng'!$B:$E,3,0))</f>
        <v/>
      </c>
      <c r="F42" s="55" t="str">
        <f>IF(E42="","",VLOOKUP($E42,'3.Khách hàng'!$A:$I,2,0))</f>
        <v/>
      </c>
      <c r="G42" s="28"/>
      <c r="H42" s="60">
        <f t="shared" si="2"/>
        <v>0</v>
      </c>
      <c r="I42" s="100">
        <v>0.08</v>
      </c>
      <c r="J42" s="60">
        <f t="shared" si="3"/>
        <v>0</v>
      </c>
      <c r="K42" s="28"/>
    </row>
    <row r="43">
      <c r="A43" s="28"/>
      <c r="B43" s="28"/>
      <c r="C43" s="28"/>
      <c r="D43" s="32" t="str">
        <f>IF(C43="","",VLOOKUP($C43,'4.Đơn hàng'!$B:$N,2,0))</f>
        <v/>
      </c>
      <c r="E43" s="20" t="str">
        <f>IF(C43="","",VLOOKUP($C43,'4.Đơn hàng'!$B:$E,3,0))</f>
        <v/>
      </c>
      <c r="F43" s="55" t="str">
        <f>IF(E43="","",VLOOKUP($E43,'3.Khách hàng'!$A:$I,2,0))</f>
        <v/>
      </c>
      <c r="G43" s="28"/>
      <c r="H43" s="60">
        <f t="shared" si="2"/>
        <v>0</v>
      </c>
      <c r="I43" s="100">
        <v>0.08</v>
      </c>
      <c r="J43" s="60">
        <f t="shared" si="3"/>
        <v>0</v>
      </c>
      <c r="K43" s="28"/>
    </row>
    <row r="44">
      <c r="A44" s="28"/>
      <c r="B44" s="28"/>
      <c r="C44" s="28"/>
      <c r="D44" s="32" t="str">
        <f>IF(C44="","",VLOOKUP($C44,'4.Đơn hàng'!$B:$N,2,0))</f>
        <v/>
      </c>
      <c r="E44" s="20" t="str">
        <f>IF(C44="","",VLOOKUP($C44,'4.Đơn hàng'!$B:$E,3,0))</f>
        <v/>
      </c>
      <c r="F44" s="55" t="str">
        <f>IF(E44="","",VLOOKUP($E44,'3.Khách hàng'!$A:$I,2,0))</f>
        <v/>
      </c>
      <c r="G44" s="28"/>
      <c r="H44" s="60">
        <f t="shared" si="2"/>
        <v>0</v>
      </c>
      <c r="I44" s="100">
        <v>0.08</v>
      </c>
      <c r="J44" s="60">
        <f t="shared" si="3"/>
        <v>0</v>
      </c>
      <c r="K44" s="28"/>
    </row>
    <row r="45">
      <c r="A45" s="28"/>
      <c r="B45" s="28"/>
      <c r="C45" s="28"/>
      <c r="D45" s="32" t="str">
        <f>IF(C45="","",VLOOKUP($C45,'4.Đơn hàng'!$B:$N,2,0))</f>
        <v/>
      </c>
      <c r="E45" s="20" t="str">
        <f>IF(C45="","",VLOOKUP($C45,'4.Đơn hàng'!$B:$E,3,0))</f>
        <v/>
      </c>
      <c r="F45" s="55" t="str">
        <f>IF(E45="","",VLOOKUP($E45,'3.Khách hàng'!$A:$I,2,0))</f>
        <v/>
      </c>
      <c r="G45" s="28"/>
      <c r="H45" s="60">
        <f t="shared" si="2"/>
        <v>0</v>
      </c>
      <c r="I45" s="100">
        <v>0.08</v>
      </c>
      <c r="J45" s="60">
        <f t="shared" si="3"/>
        <v>0</v>
      </c>
      <c r="K45" s="28"/>
    </row>
    <row r="46">
      <c r="A46" s="28"/>
      <c r="B46" s="28"/>
      <c r="C46" s="28"/>
      <c r="D46" s="32" t="str">
        <f>IF(C46="","",VLOOKUP($C46,'4.Đơn hàng'!$B:$N,2,0))</f>
        <v/>
      </c>
      <c r="E46" s="20" t="str">
        <f>IF(C46="","",VLOOKUP($C46,'4.Đơn hàng'!$B:$E,3,0))</f>
        <v/>
      </c>
      <c r="F46" s="55" t="str">
        <f>IF(E46="","",VLOOKUP($E46,'3.Khách hàng'!$A:$I,2,0))</f>
        <v/>
      </c>
      <c r="G46" s="28"/>
      <c r="H46" s="60">
        <f t="shared" si="2"/>
        <v>0</v>
      </c>
      <c r="I46" s="100">
        <v>0.08</v>
      </c>
      <c r="J46" s="60">
        <f t="shared" si="3"/>
        <v>0</v>
      </c>
      <c r="K46" s="28"/>
    </row>
    <row r="47">
      <c r="A47" s="28"/>
      <c r="B47" s="28"/>
      <c r="C47" s="28"/>
      <c r="D47" s="32" t="str">
        <f>IF(C47="","",VLOOKUP($C47,'4.Đơn hàng'!$B:$N,2,0))</f>
        <v/>
      </c>
      <c r="E47" s="20" t="str">
        <f>IF(C47="","",VLOOKUP($C47,'4.Đơn hàng'!$B:$E,3,0))</f>
        <v/>
      </c>
      <c r="F47" s="55" t="str">
        <f>IF(E47="","",VLOOKUP($E47,'3.Khách hàng'!$A:$I,2,0))</f>
        <v/>
      </c>
      <c r="G47" s="28"/>
      <c r="H47" s="60">
        <f t="shared" si="2"/>
        <v>0</v>
      </c>
      <c r="I47" s="100">
        <v>0.08</v>
      </c>
      <c r="J47" s="60">
        <f t="shared" si="3"/>
        <v>0</v>
      </c>
      <c r="K47" s="28"/>
    </row>
    <row r="48">
      <c r="A48" s="28"/>
      <c r="B48" s="28"/>
      <c r="C48" s="28"/>
      <c r="D48" s="32" t="str">
        <f>IF(C48="","",VLOOKUP($C48,'4.Đơn hàng'!$B:$N,2,0))</f>
        <v/>
      </c>
      <c r="E48" s="20" t="str">
        <f>IF(C48="","",VLOOKUP($C48,'4.Đơn hàng'!$B:$E,3,0))</f>
        <v/>
      </c>
      <c r="F48" s="55" t="str">
        <f>IF(E48="","",VLOOKUP($E48,'3.Khách hàng'!$A:$I,2,0))</f>
        <v/>
      </c>
      <c r="G48" s="28"/>
      <c r="H48" s="60">
        <f t="shared" si="2"/>
        <v>0</v>
      </c>
      <c r="I48" s="100">
        <v>0.08</v>
      </c>
      <c r="J48" s="60">
        <f t="shared" si="3"/>
        <v>0</v>
      </c>
      <c r="K48" s="28"/>
    </row>
    <row r="49">
      <c r="A49" s="28"/>
      <c r="B49" s="28"/>
      <c r="C49" s="28"/>
      <c r="D49" s="32" t="str">
        <f>IF(C49="","",VLOOKUP($C49,'4.Đơn hàng'!$B:$N,2,0))</f>
        <v/>
      </c>
      <c r="E49" s="20" t="str">
        <f>IF(C49="","",VLOOKUP($C49,'4.Đơn hàng'!$B:$E,3,0))</f>
        <v/>
      </c>
      <c r="F49" s="55" t="str">
        <f>IF(E49="","",VLOOKUP($E49,'3.Khách hàng'!$A:$I,2,0))</f>
        <v/>
      </c>
      <c r="G49" s="28"/>
      <c r="H49" s="60">
        <f t="shared" si="2"/>
        <v>0</v>
      </c>
      <c r="I49" s="100">
        <v>0.08</v>
      </c>
      <c r="J49" s="60">
        <f t="shared" si="3"/>
        <v>0</v>
      </c>
      <c r="K49" s="28"/>
    </row>
    <row r="50">
      <c r="A50" s="28"/>
      <c r="B50" s="28"/>
      <c r="C50" s="28"/>
      <c r="D50" s="32" t="str">
        <f>IF(C50="","",VLOOKUP($C50,'4.Đơn hàng'!$B:$N,2,0))</f>
        <v/>
      </c>
      <c r="E50" s="20" t="str">
        <f>IF(C50="","",VLOOKUP($C50,'4.Đơn hàng'!$B:$E,3,0))</f>
        <v/>
      </c>
      <c r="F50" s="55" t="str">
        <f>IF(E50="","",VLOOKUP($E50,'3.Khách hàng'!$A:$I,2,0))</f>
        <v/>
      </c>
      <c r="G50" s="28"/>
      <c r="H50" s="60">
        <f t="shared" si="2"/>
        <v>0</v>
      </c>
      <c r="I50" s="100">
        <v>0.08</v>
      </c>
      <c r="J50" s="60">
        <f t="shared" si="3"/>
        <v>0</v>
      </c>
      <c r="K50" s="28"/>
    </row>
    <row r="51">
      <c r="A51" s="28"/>
      <c r="B51" s="28"/>
      <c r="C51" s="28"/>
      <c r="D51" s="32" t="str">
        <f>IF(C51="","",VLOOKUP($C51,'4.Đơn hàng'!$B:$N,2,0))</f>
        <v/>
      </c>
      <c r="E51" s="20" t="str">
        <f>IF(C51="","",VLOOKUP($C51,'4.Đơn hàng'!$B:$E,3,0))</f>
        <v/>
      </c>
      <c r="F51" s="55" t="str">
        <f>IF(E51="","",VLOOKUP($E51,'3.Khách hàng'!$A:$I,2,0))</f>
        <v/>
      </c>
      <c r="G51" s="28"/>
      <c r="H51" s="60">
        <f t="shared" si="2"/>
        <v>0</v>
      </c>
      <c r="I51" s="100">
        <v>0.08</v>
      </c>
      <c r="J51" s="60">
        <f t="shared" si="3"/>
        <v>0</v>
      </c>
      <c r="K51" s="28"/>
    </row>
    <row r="52">
      <c r="A52" s="28"/>
      <c r="B52" s="28"/>
      <c r="C52" s="28"/>
      <c r="D52" s="32" t="str">
        <f>IF(C52="","",VLOOKUP($C52,'4.Đơn hàng'!$B:$N,2,0))</f>
        <v/>
      </c>
      <c r="E52" s="20" t="str">
        <f>IF(C52="","",VLOOKUP($C52,'4.Đơn hàng'!$B:$E,3,0))</f>
        <v/>
      </c>
      <c r="F52" s="55" t="str">
        <f>IF(E52="","",VLOOKUP($E52,'3.Khách hàng'!$A:$I,2,0))</f>
        <v/>
      </c>
      <c r="G52" s="28"/>
      <c r="H52" s="60">
        <f t="shared" si="2"/>
        <v>0</v>
      </c>
      <c r="I52" s="100">
        <v>0.08</v>
      </c>
      <c r="J52" s="60">
        <f t="shared" si="3"/>
        <v>0</v>
      </c>
      <c r="K52" s="28"/>
    </row>
    <row r="53">
      <c r="A53" s="28"/>
      <c r="B53" s="28"/>
      <c r="C53" s="28"/>
      <c r="D53" s="32" t="str">
        <f>IF(C53="","",VLOOKUP($C53,'4.Đơn hàng'!$B:$N,2,0))</f>
        <v/>
      </c>
      <c r="E53" s="20" t="str">
        <f>IF(C53="","",VLOOKUP($C53,'4.Đơn hàng'!$B:$E,3,0))</f>
        <v/>
      </c>
      <c r="F53" s="55" t="str">
        <f>IF(E53="","",VLOOKUP($E53,'3.Khách hàng'!$A:$I,2,0))</f>
        <v/>
      </c>
      <c r="G53" s="28"/>
      <c r="H53" s="60">
        <f t="shared" si="2"/>
        <v>0</v>
      </c>
      <c r="I53" s="100">
        <v>0.08</v>
      </c>
      <c r="J53" s="60">
        <f t="shared" si="3"/>
        <v>0</v>
      </c>
      <c r="K53" s="28"/>
    </row>
    <row r="54">
      <c r="A54" s="28"/>
      <c r="B54" s="28"/>
      <c r="C54" s="28"/>
      <c r="D54" s="32" t="str">
        <f>IF(C54="","",VLOOKUP($C54,'4.Đơn hàng'!$B:$N,2,0))</f>
        <v/>
      </c>
      <c r="E54" s="20" t="str">
        <f>IF(C54="","",VLOOKUP($C54,'4.Đơn hàng'!$B:$E,3,0))</f>
        <v/>
      </c>
      <c r="F54" s="55" t="str">
        <f>IF(E54="","",VLOOKUP($E54,'3.Khách hàng'!$A:$I,2,0))</f>
        <v/>
      </c>
      <c r="G54" s="28"/>
      <c r="H54" s="60">
        <f t="shared" si="2"/>
        <v>0</v>
      </c>
      <c r="I54" s="100">
        <v>0.08</v>
      </c>
      <c r="J54" s="60">
        <f t="shared" si="3"/>
        <v>0</v>
      </c>
      <c r="K54" s="28"/>
    </row>
    <row r="55">
      <c r="A55" s="28"/>
      <c r="B55" s="28"/>
      <c r="C55" s="28"/>
      <c r="D55" s="32" t="str">
        <f>IF(C55="","",VLOOKUP($C55,'4.Đơn hàng'!$B:$N,2,0))</f>
        <v/>
      </c>
      <c r="E55" s="20" t="str">
        <f>IF(C55="","",VLOOKUP($C55,'4.Đơn hàng'!$B:$E,3,0))</f>
        <v/>
      </c>
      <c r="F55" s="55" t="str">
        <f>IF(E55="","",VLOOKUP($E55,'3.Khách hàng'!$A:$I,2,0))</f>
        <v/>
      </c>
      <c r="G55" s="28"/>
      <c r="H55" s="60">
        <f t="shared" si="2"/>
        <v>0</v>
      </c>
      <c r="I55" s="100">
        <v>0.08</v>
      </c>
      <c r="J55" s="60">
        <f t="shared" si="3"/>
        <v>0</v>
      </c>
      <c r="K55" s="28"/>
    </row>
    <row r="56">
      <c r="A56" s="28"/>
      <c r="B56" s="28"/>
      <c r="C56" s="28"/>
      <c r="D56" s="32" t="str">
        <f>IF(C56="","",VLOOKUP($C56,'4.Đơn hàng'!$B:$N,2,0))</f>
        <v/>
      </c>
      <c r="E56" s="20" t="str">
        <f>IF(C56="","",VLOOKUP($C56,'4.Đơn hàng'!$B:$E,3,0))</f>
        <v/>
      </c>
      <c r="F56" s="55" t="str">
        <f>IF(E56="","",VLOOKUP($E56,'3.Khách hàng'!$A:$I,2,0))</f>
        <v/>
      </c>
      <c r="G56" s="28"/>
      <c r="H56" s="60">
        <f t="shared" si="2"/>
        <v>0</v>
      </c>
      <c r="I56" s="100">
        <v>0.08</v>
      </c>
      <c r="J56" s="60">
        <f t="shared" si="3"/>
        <v>0</v>
      </c>
      <c r="K56" s="28"/>
    </row>
    <row r="57">
      <c r="A57" s="28"/>
      <c r="B57" s="28"/>
      <c r="C57" s="28"/>
      <c r="D57" s="32" t="str">
        <f>IF(C57="","",VLOOKUP($C57,'4.Đơn hàng'!$B:$N,2,0))</f>
        <v/>
      </c>
      <c r="E57" s="20" t="str">
        <f>IF(C57="","",VLOOKUP($C57,'4.Đơn hàng'!$B:$E,3,0))</f>
        <v/>
      </c>
      <c r="F57" s="55" t="str">
        <f>IF(E57="","",VLOOKUP($E57,'3.Khách hàng'!$A:$I,2,0))</f>
        <v/>
      </c>
      <c r="G57" s="28"/>
      <c r="H57" s="60">
        <f t="shared" si="2"/>
        <v>0</v>
      </c>
      <c r="I57" s="100">
        <v>0.08</v>
      </c>
      <c r="J57" s="60">
        <f t="shared" si="3"/>
        <v>0</v>
      </c>
      <c r="K57" s="28"/>
    </row>
    <row r="58">
      <c r="A58" s="28"/>
      <c r="B58" s="28"/>
      <c r="C58" s="28"/>
      <c r="D58" s="32" t="str">
        <f>IF(C58="","",VLOOKUP($C58,'4.Đơn hàng'!$B:$N,2,0))</f>
        <v/>
      </c>
      <c r="E58" s="20" t="str">
        <f>IF(C58="","",VLOOKUP($C58,'4.Đơn hàng'!$B:$E,3,0))</f>
        <v/>
      </c>
      <c r="F58" s="55" t="str">
        <f>IF(E58="","",VLOOKUP($E58,'3.Khách hàng'!$A:$I,2,0))</f>
        <v/>
      </c>
      <c r="G58" s="28"/>
      <c r="H58" s="60">
        <f t="shared" si="2"/>
        <v>0</v>
      </c>
      <c r="I58" s="100">
        <v>0.08</v>
      </c>
      <c r="J58" s="60">
        <f t="shared" si="3"/>
        <v>0</v>
      </c>
      <c r="K58" s="28"/>
    </row>
  </sheetData>
  <autoFilter ref="$A$2:$J$58"/>
  <conditionalFormatting sqref="C25">
    <cfRule type="expression" dxfId="0" priority="1">
      <formula>AND($H25&lt;&gt;"",OR($A25="",$D25="",$B25="",$F25="",$J25=""))</formula>
    </cfRule>
  </conditionalFormatting>
  <conditionalFormatting sqref="A3:A26">
    <cfRule type="notContainsBlanks" dxfId="1" priority="2">
      <formula>LEN(TRIM(A3))&gt;0</formula>
    </cfRule>
  </conditionalFormatting>
  <dataValidations>
    <dataValidation type="list" allowBlank="1" showErrorMessage="1" sqref="C2:C58">
      <formula1>'4.Đơn hàng'!$B$4:$B$52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8.0"/>
    <col customWidth="1" min="2" max="2" width="8.13"/>
    <col customWidth="1" min="3" max="3" width="28.5"/>
    <col customWidth="1" min="4" max="4" width="20.25"/>
    <col customWidth="1" min="6" max="6" width="11.25"/>
    <col customWidth="1" min="7" max="18" width="10.25"/>
  </cols>
  <sheetData>
    <row r="1">
      <c r="A1" s="2" t="s">
        <v>1</v>
      </c>
      <c r="B1" s="2" t="s">
        <v>4</v>
      </c>
      <c r="C1" s="6" t="s">
        <v>5</v>
      </c>
      <c r="D1" s="2" t="s">
        <v>8</v>
      </c>
      <c r="E1" s="11" t="s">
        <v>9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26</v>
      </c>
    </row>
    <row r="2">
      <c r="A2" s="16"/>
      <c r="B2" s="16"/>
      <c r="C2" s="20"/>
      <c r="D2" s="16"/>
      <c r="E2" s="22">
        <f t="shared" ref="E2:R2" si="1">SUM(E3:E16)</f>
        <v>445700583</v>
      </c>
      <c r="F2" s="22">
        <f t="shared" si="1"/>
        <v>412685725</v>
      </c>
      <c r="G2" s="22">
        <f t="shared" si="1"/>
        <v>150672946.3</v>
      </c>
      <c r="H2" s="22">
        <f t="shared" si="1"/>
        <v>0</v>
      </c>
      <c r="I2" s="22">
        <f t="shared" si="1"/>
        <v>0</v>
      </c>
      <c r="J2" s="22">
        <f t="shared" si="1"/>
        <v>1643334.259</v>
      </c>
      <c r="K2" s="22">
        <f t="shared" si="1"/>
        <v>0</v>
      </c>
      <c r="L2" s="22">
        <f t="shared" si="1"/>
        <v>0</v>
      </c>
      <c r="M2" s="22">
        <f t="shared" si="1"/>
        <v>260369444.4</v>
      </c>
      <c r="N2" s="22">
        <f t="shared" si="1"/>
        <v>0</v>
      </c>
      <c r="O2" s="22">
        <f t="shared" si="1"/>
        <v>0</v>
      </c>
      <c r="P2" s="22">
        <f t="shared" si="1"/>
        <v>0</v>
      </c>
      <c r="Q2" s="22">
        <f t="shared" si="1"/>
        <v>0</v>
      </c>
      <c r="R2" s="22">
        <f t="shared" si="1"/>
        <v>0</v>
      </c>
    </row>
    <row r="3">
      <c r="A3" s="29" t="s">
        <v>41</v>
      </c>
      <c r="B3" s="20" t="str">
        <f>IF(A3="","",VLOOKUP($A3,'4.Đơn hàng'!$B:$E,3,0))</f>
        <v>KH20</v>
      </c>
      <c r="C3" s="20" t="str">
        <f>IF(B3="","",VLOOKUP($B3,'3.Khách hàng'!$A:$I,2,0))</f>
        <v>PHẠM TRẦN HẢI</v>
      </c>
      <c r="D3" s="35" t="str">
        <f>IF(A3="","",VLOOKUP($A3,'4.Đơn hàng'!$B:$N,2,0))</f>
        <v>Business in the Box</v>
      </c>
      <c r="E3" s="22">
        <f>SUMIF('4.Đơn hàng'!$B:$B,$A3,'4.Đơn hàng'!$H:$H)</f>
        <v>93733000</v>
      </c>
      <c r="F3" s="22">
        <f>SUMIFS('4.Đơn hàng'!$I:$I,'4.Đơn hàng'!$B:$B,$A3)</f>
        <v>86789814.81</v>
      </c>
      <c r="G3" s="40">
        <f>SUMIFS('4.Đơn hàng'!$I:$I,'4.Đơn hàng'!$B:$B,$A3,'4.Đơn hàng'!$P:$P,G$1)</f>
        <v>0</v>
      </c>
      <c r="H3" s="40">
        <f>SUMIFS('4.Đơn hàng'!$I:$I,'4.Đơn hàng'!$B:$B,$A3,'4.Đơn hàng'!$P:$P,H$1)</f>
        <v>0</v>
      </c>
      <c r="I3" s="40">
        <f>SUMIFS('4.Đơn hàng'!$I:$I,'4.Đơn hàng'!$B:$B,$A3,'4.Đơn hàng'!$P:$P,I$1)</f>
        <v>0</v>
      </c>
      <c r="J3" s="40">
        <f>SUMIFS('4.Đơn hàng'!$I:$I,'4.Đơn hàng'!$B:$B,$A3,'4.Đơn hàng'!$P:$P,J$1)</f>
        <v>0</v>
      </c>
      <c r="K3" s="40">
        <f>SUMIFS('4.Đơn hàng'!$I:$I,'4.Đơn hàng'!$B:$B,$A3,'4.Đơn hàng'!$P:$P,K$1)</f>
        <v>0</v>
      </c>
      <c r="L3" s="40">
        <f>SUMIFS('4.Đơn hàng'!$I:$I,'4.Đơn hàng'!$B:$B,$A3,'4.Đơn hàng'!$P:$P,L$1)</f>
        <v>0</v>
      </c>
      <c r="M3" s="40">
        <f>SUMIFS('4.Đơn hàng'!$I:$I,'4.Đơn hàng'!$B:$B,$A3,'4.Đơn hàng'!$P:$P,M$1)</f>
        <v>86789814.81</v>
      </c>
      <c r="N3" s="40">
        <f>SUMIFS('4.Đơn hàng'!$I:$I,'4.Đơn hàng'!$B:$B,$A3,'4.Đơn hàng'!$P:$P,N$1)</f>
        <v>0</v>
      </c>
      <c r="O3" s="40">
        <f>SUMIFS('4.Đơn hàng'!$I:$I,'4.Đơn hàng'!$B:$B,$A3,'4.Đơn hàng'!$P:$P,O$1)</f>
        <v>0</v>
      </c>
      <c r="P3" s="40">
        <f>SUMIFS('4.Đơn hàng'!$I:$I,'4.Đơn hàng'!$B:$B,$A3,'4.Đơn hàng'!$P:$P,P$1)</f>
        <v>0</v>
      </c>
      <c r="Q3" s="40">
        <f>SUMIFS('4.Đơn hàng'!$I:$I,'4.Đơn hàng'!$B:$B,$A3,'4.Đơn hàng'!$P:$P,Q$1)</f>
        <v>0</v>
      </c>
      <c r="R3" s="40">
        <f>SUMIFS('4.Đơn hàng'!$I:$I,'4.Đơn hàng'!$B:$B,$A3,'4.Đơn hàng'!$P:$P,R$1)</f>
        <v>0</v>
      </c>
    </row>
    <row r="4">
      <c r="A4" s="29" t="s">
        <v>48</v>
      </c>
      <c r="B4" s="20" t="str">
        <f>IF(A4="","",VLOOKUP($A4,'4.Đơn hàng'!$B:$E,3,0))</f>
        <v>KH22</v>
      </c>
      <c r="C4" s="20" t="str">
        <f>IF(B4="","",VLOOKUP($B4,'3.Khách hàng'!$A:$I,2,0))</f>
        <v>NGUYỄN THỊ HIÊN</v>
      </c>
      <c r="D4" s="35" t="str">
        <f>IF(A4="","",VLOOKUP($A4,'4.Đơn hàng'!$B:$N,2,0))</f>
        <v>Business in the Box</v>
      </c>
      <c r="E4" s="22">
        <f>SUMIF('4.Đơn hàng'!$B:$B,$A4,'4.Đơn hàng'!$H:$H)</f>
        <v>93733000</v>
      </c>
      <c r="F4" s="22">
        <f>SUMIFS('4.Đơn hàng'!$I:$I,'4.Đơn hàng'!$B:$B,$A4)</f>
        <v>86789814.81</v>
      </c>
      <c r="G4" s="40">
        <f>SUMIFS('4.Đơn hàng'!$I:$I,'4.Đơn hàng'!$B:$B,$A4,'4.Đơn hàng'!$P:$P,G$1)</f>
        <v>0</v>
      </c>
      <c r="H4" s="40">
        <f>SUMIFS('4.Đơn hàng'!$I:$I,'4.Đơn hàng'!$B:$B,$A4,'4.Đơn hàng'!$P:$P,H$1)</f>
        <v>0</v>
      </c>
      <c r="I4" s="40">
        <f>SUMIFS('4.Đơn hàng'!$I:$I,'4.Đơn hàng'!$B:$B,$A4,'4.Đơn hàng'!$P:$P,I$1)</f>
        <v>0</v>
      </c>
      <c r="J4" s="40">
        <f>SUMIFS('4.Đơn hàng'!$I:$I,'4.Đơn hàng'!$B:$B,$A4,'4.Đơn hàng'!$P:$P,J$1)</f>
        <v>0</v>
      </c>
      <c r="K4" s="40">
        <f>SUMIFS('4.Đơn hàng'!$I:$I,'4.Đơn hàng'!$B:$B,$A4,'4.Đơn hàng'!$P:$P,K$1)</f>
        <v>0</v>
      </c>
      <c r="L4" s="40">
        <f>SUMIFS('4.Đơn hàng'!$I:$I,'4.Đơn hàng'!$B:$B,$A4,'4.Đơn hàng'!$P:$P,L$1)</f>
        <v>0</v>
      </c>
      <c r="M4" s="40">
        <f>SUMIFS('4.Đơn hàng'!$I:$I,'4.Đơn hàng'!$B:$B,$A4,'4.Đơn hàng'!$P:$P,M$1)</f>
        <v>86789814.81</v>
      </c>
      <c r="N4" s="40">
        <f>SUMIFS('4.Đơn hàng'!$I:$I,'4.Đơn hàng'!$B:$B,$A4,'4.Đơn hàng'!$P:$P,N$1)</f>
        <v>0</v>
      </c>
      <c r="O4" s="40">
        <f>SUMIFS('4.Đơn hàng'!$I:$I,'4.Đơn hàng'!$B:$B,$A4,'4.Đơn hàng'!$P:$P,O$1)</f>
        <v>0</v>
      </c>
      <c r="P4" s="40">
        <f>SUMIFS('4.Đơn hàng'!$I:$I,'4.Đơn hàng'!$B:$B,$A4,'4.Đơn hàng'!$P:$P,P$1)</f>
        <v>0</v>
      </c>
      <c r="Q4" s="40">
        <f>SUMIFS('4.Đơn hàng'!$I:$I,'4.Đơn hàng'!$B:$B,$A4,'4.Đơn hàng'!$P:$P,Q$1)</f>
        <v>0</v>
      </c>
      <c r="R4" s="40">
        <f>SUMIFS('4.Đơn hàng'!$I:$I,'4.Đơn hàng'!$B:$B,$A4,'4.Đơn hàng'!$P:$P,R$1)</f>
        <v>0</v>
      </c>
    </row>
    <row r="5">
      <c r="A5" s="29" t="s">
        <v>52</v>
      </c>
      <c r="B5" s="20" t="str">
        <f>IF(A5="","",VLOOKUP($A5,'4.Đơn hàng'!$B:$E,3,0))</f>
        <v>KH23</v>
      </c>
      <c r="C5" s="20" t="str">
        <f>IF(B5="","",VLOOKUP($B5,'3.Khách hàng'!$A:$I,2,0))</f>
        <v>HỘ KINH DOANH NGUYỄN THANH HÙNG</v>
      </c>
      <c r="D5" s="35" t="str">
        <f>IF(A5="","",VLOOKUP($A5,'4.Đơn hàng'!$B:$N,2,0))</f>
        <v>Business in the Box</v>
      </c>
      <c r="E5" s="22">
        <f>SUMIF('4.Đơn hàng'!$B:$B,$A5,'4.Đơn hàng'!$H:$H)</f>
        <v>93733000</v>
      </c>
      <c r="F5" s="22">
        <f>SUMIFS('4.Đơn hàng'!$I:$I,'4.Đơn hàng'!$B:$B,$A5)</f>
        <v>86789814.81</v>
      </c>
      <c r="G5" s="40">
        <f>SUMIFS('4.Đơn hàng'!$I:$I,'4.Đơn hàng'!$B:$B,$A5,'4.Đơn hàng'!$P:$P,G$1)</f>
        <v>0</v>
      </c>
      <c r="H5" s="40">
        <f>SUMIFS('4.Đơn hàng'!$I:$I,'4.Đơn hàng'!$B:$B,$A5,'4.Đơn hàng'!$P:$P,H$1)</f>
        <v>0</v>
      </c>
      <c r="I5" s="40">
        <f>SUMIFS('4.Đơn hàng'!$I:$I,'4.Đơn hàng'!$B:$B,$A5,'4.Đơn hàng'!$P:$P,I$1)</f>
        <v>0</v>
      </c>
      <c r="J5" s="40">
        <f>SUMIFS('4.Đơn hàng'!$I:$I,'4.Đơn hàng'!$B:$B,$A5,'4.Đơn hàng'!$P:$P,J$1)</f>
        <v>0</v>
      </c>
      <c r="K5" s="40">
        <f>SUMIFS('4.Đơn hàng'!$I:$I,'4.Đơn hàng'!$B:$B,$A5,'4.Đơn hàng'!$P:$P,K$1)</f>
        <v>0</v>
      </c>
      <c r="L5" s="40">
        <f>SUMIFS('4.Đơn hàng'!$I:$I,'4.Đơn hàng'!$B:$B,$A5,'4.Đơn hàng'!$P:$P,L$1)</f>
        <v>0</v>
      </c>
      <c r="M5" s="40">
        <f>SUMIFS('4.Đơn hàng'!$I:$I,'4.Đơn hàng'!$B:$B,$A5,'4.Đơn hàng'!$P:$P,M$1)</f>
        <v>86789814.81</v>
      </c>
      <c r="N5" s="40">
        <f>SUMIFS('4.Đơn hàng'!$I:$I,'4.Đơn hàng'!$B:$B,$A5,'4.Đơn hàng'!$P:$P,N$1)</f>
        <v>0</v>
      </c>
      <c r="O5" s="40">
        <f>SUMIFS('4.Đơn hàng'!$I:$I,'4.Đơn hàng'!$B:$B,$A5,'4.Đơn hàng'!$P:$P,O$1)</f>
        <v>0</v>
      </c>
      <c r="P5" s="40">
        <f>SUMIFS('4.Đơn hàng'!$I:$I,'4.Đơn hàng'!$B:$B,$A5,'4.Đơn hàng'!$P:$P,P$1)</f>
        <v>0</v>
      </c>
      <c r="Q5" s="40">
        <f>SUMIFS('4.Đơn hàng'!$I:$I,'4.Đơn hàng'!$B:$B,$A5,'4.Đơn hàng'!$P:$P,Q$1)</f>
        <v>0</v>
      </c>
      <c r="R5" s="40">
        <f>SUMIFS('4.Đơn hàng'!$I:$I,'4.Đơn hàng'!$B:$B,$A5,'4.Đơn hàng'!$P:$P,R$1)</f>
        <v>0</v>
      </c>
    </row>
    <row r="6">
      <c r="A6" s="29" t="s">
        <v>55</v>
      </c>
      <c r="B6" s="20" t="str">
        <f>IF(A6="","",VLOOKUP($A6,'4.Đơn hàng'!$B:$E,3,0))</f>
        <v>KH15</v>
      </c>
      <c r="C6" s="20" t="str">
        <f>IF(B6="","",VLOOKUP($B6,'3.Khách hàng'!$A:$I,2,0))</f>
        <v>NGUYỄN THỊ YẾN</v>
      </c>
      <c r="D6" s="35" t="str">
        <f>IF(A6="","",VLOOKUP($A6,'4.Đơn hàng'!$B:$N,2,0))</f>
        <v>Business in the Box</v>
      </c>
      <c r="E6" s="22">
        <f>SUMIF('4.Đơn hàng'!$B:$B,$A6,'4.Đơn hàng'!$H:$H)</f>
        <v>81363391</v>
      </c>
      <c r="F6" s="22">
        <f>SUMIFS('4.Đơn hàng'!$I:$I,'4.Đơn hàng'!$B:$B,$A6)</f>
        <v>75336473.15</v>
      </c>
      <c r="G6" s="40">
        <f>SUMIFS('4.Đơn hàng'!$I:$I,'4.Đơn hàng'!$B:$B,$A6,'4.Đơn hàng'!$P:$P,G$1)</f>
        <v>75336473.15</v>
      </c>
      <c r="H6" s="40">
        <f>SUMIFS('4.Đơn hàng'!$I:$I,'4.Đơn hàng'!$B:$B,$A6,'4.Đơn hàng'!$P:$P,H$1)</f>
        <v>0</v>
      </c>
      <c r="I6" s="40">
        <f>SUMIFS('4.Đơn hàng'!$I:$I,'4.Đơn hàng'!$B:$B,$A6,'4.Đơn hàng'!$P:$P,I$1)</f>
        <v>0</v>
      </c>
      <c r="J6" s="40">
        <f>SUMIFS('4.Đơn hàng'!$I:$I,'4.Đơn hàng'!$B:$B,$A6,'4.Đơn hàng'!$P:$P,J$1)</f>
        <v>0</v>
      </c>
      <c r="K6" s="40">
        <f>SUMIFS('4.Đơn hàng'!$I:$I,'4.Đơn hàng'!$B:$B,$A6,'4.Đơn hàng'!$P:$P,K$1)</f>
        <v>0</v>
      </c>
      <c r="L6" s="40">
        <f>SUMIFS('4.Đơn hàng'!$I:$I,'4.Đơn hàng'!$B:$B,$A6,'4.Đơn hàng'!$P:$P,L$1)</f>
        <v>0</v>
      </c>
      <c r="M6" s="40">
        <f>SUMIFS('4.Đơn hàng'!$I:$I,'4.Đơn hàng'!$B:$B,$A6,'4.Đơn hàng'!$P:$P,M$1)</f>
        <v>0</v>
      </c>
      <c r="N6" s="40">
        <f>SUMIFS('4.Đơn hàng'!$I:$I,'4.Đơn hàng'!$B:$B,$A6,'4.Đơn hàng'!$P:$P,N$1)</f>
        <v>0</v>
      </c>
      <c r="O6" s="40">
        <f>SUMIFS('4.Đơn hàng'!$I:$I,'4.Đơn hàng'!$B:$B,$A6,'4.Đơn hàng'!$P:$P,O$1)</f>
        <v>0</v>
      </c>
      <c r="P6" s="40">
        <f>SUMIFS('4.Đơn hàng'!$I:$I,'4.Đơn hàng'!$B:$B,$A6,'4.Đơn hàng'!$P:$P,P$1)</f>
        <v>0</v>
      </c>
      <c r="Q6" s="40">
        <f>SUMIFS('4.Đơn hàng'!$I:$I,'4.Đơn hàng'!$B:$B,$A6,'4.Đơn hàng'!$P:$P,Q$1)</f>
        <v>0</v>
      </c>
      <c r="R6" s="40">
        <f>SUMIFS('4.Đơn hàng'!$I:$I,'4.Đơn hàng'!$B:$B,$A6,'4.Đơn hàng'!$P:$P,R$1)</f>
        <v>0</v>
      </c>
    </row>
    <row r="7">
      <c r="A7" s="29" t="s">
        <v>57</v>
      </c>
      <c r="B7" s="20" t="str">
        <f>IF(A7="","",VLOOKUP($A7,'4.Đơn hàng'!$B:$E,3,0))</f>
        <v>KH16</v>
      </c>
      <c r="C7" s="20" t="str">
        <f>IF(B7="","",VLOOKUP($B7,'3.Khách hàng'!$A:$I,2,0))</f>
        <v>CÔNG TY TNHH TINH KHÍ VIỆT</v>
      </c>
      <c r="D7" s="35" t="str">
        <f>IF(A7="","",VLOOKUP($A7,'4.Đơn hàng'!$B:$N,2,0))</f>
        <v>Business in the Box</v>
      </c>
      <c r="E7" s="22">
        <f>SUMIF('4.Đơn hàng'!$B:$B,$A7,'4.Đơn hàng'!$H:$H)</f>
        <v>81363391</v>
      </c>
      <c r="F7" s="22">
        <f>SUMIFS('4.Đơn hàng'!$I:$I,'4.Đơn hàng'!$B:$B,$A7)</f>
        <v>75336473.15</v>
      </c>
      <c r="G7" s="40">
        <f>SUMIFS('4.Đơn hàng'!$I:$I,'4.Đơn hàng'!$B:$B,$A7,'4.Đơn hàng'!$P:$P,G$1)</f>
        <v>75336473.15</v>
      </c>
      <c r="H7" s="40">
        <f>SUMIFS('4.Đơn hàng'!$I:$I,'4.Đơn hàng'!$B:$B,$A7,'4.Đơn hàng'!$P:$P,H$1)</f>
        <v>0</v>
      </c>
      <c r="I7" s="40">
        <f>SUMIFS('4.Đơn hàng'!$I:$I,'4.Đơn hàng'!$B:$B,$A7,'4.Đơn hàng'!$P:$P,I$1)</f>
        <v>0</v>
      </c>
      <c r="J7" s="40">
        <f>SUMIFS('4.Đơn hàng'!$I:$I,'4.Đơn hàng'!$B:$B,$A7,'4.Đơn hàng'!$P:$P,J$1)</f>
        <v>0</v>
      </c>
      <c r="K7" s="40">
        <f>SUMIFS('4.Đơn hàng'!$I:$I,'4.Đơn hàng'!$B:$B,$A7,'4.Đơn hàng'!$P:$P,K$1)</f>
        <v>0</v>
      </c>
      <c r="L7" s="40">
        <f>SUMIFS('4.Đơn hàng'!$I:$I,'4.Đơn hàng'!$B:$B,$A7,'4.Đơn hàng'!$P:$P,L$1)</f>
        <v>0</v>
      </c>
      <c r="M7" s="40">
        <f>SUMIFS('4.Đơn hàng'!$I:$I,'4.Đơn hàng'!$B:$B,$A7,'4.Đơn hàng'!$P:$P,M$1)</f>
        <v>0</v>
      </c>
      <c r="N7" s="40">
        <f>SUMIFS('4.Đơn hàng'!$I:$I,'4.Đơn hàng'!$B:$B,$A7,'4.Đơn hàng'!$P:$P,N$1)</f>
        <v>0</v>
      </c>
      <c r="O7" s="40">
        <f>SUMIFS('4.Đơn hàng'!$I:$I,'4.Đơn hàng'!$B:$B,$A7,'4.Đơn hàng'!$P:$P,O$1)</f>
        <v>0</v>
      </c>
      <c r="P7" s="40">
        <f>SUMIFS('4.Đơn hàng'!$I:$I,'4.Đơn hàng'!$B:$B,$A7,'4.Đơn hàng'!$P:$P,P$1)</f>
        <v>0</v>
      </c>
      <c r="Q7" s="40">
        <f>SUMIFS('4.Đơn hàng'!$I:$I,'4.Đơn hàng'!$B:$B,$A7,'4.Đơn hàng'!$P:$P,Q$1)</f>
        <v>0</v>
      </c>
      <c r="R7" s="40">
        <f>SUMIFS('4.Đơn hàng'!$I:$I,'4.Đơn hàng'!$B:$B,$A7,'4.Đơn hàng'!$P:$P,R$1)</f>
        <v>0</v>
      </c>
    </row>
    <row r="8">
      <c r="A8" s="29" t="s">
        <v>58</v>
      </c>
      <c r="B8" s="20" t="str">
        <f>IF(A8="","",VLOOKUP($A8,'4.Đơn hàng'!$B:$E,3,0))</f>
        <v>KH17</v>
      </c>
      <c r="C8" s="20" t="str">
        <f>IF(B8="","",VLOOKUP($B8,'3.Khách hàng'!$A:$I,2,0))</f>
        <v>CÔNG TY TNHH PAPASAN VIỆT NAM</v>
      </c>
      <c r="D8" s="35" t="str">
        <f>IF(A8="","",VLOOKUP($A8,'4.Đơn hàng'!$B:$N,2,0))</f>
        <v>Lãnh đạo chuyển hóa</v>
      </c>
      <c r="E8" s="22">
        <f>SUMIF('4.Đơn hàng'!$B:$B,$A8,'4.Đơn hàng'!$H:$H)</f>
        <v>1774801</v>
      </c>
      <c r="F8" s="22">
        <f>SUMIFS('4.Đơn hàng'!$I:$I,'4.Đơn hàng'!$B:$B,$A8)</f>
        <v>1643334.259</v>
      </c>
      <c r="G8" s="40">
        <f>SUMIFS('4.Đơn hàng'!$I:$I,'4.Đơn hàng'!$B:$B,$A8,'4.Đơn hàng'!$P:$P,G$1)</f>
        <v>0</v>
      </c>
      <c r="H8" s="40">
        <f>SUMIFS('4.Đơn hàng'!$I:$I,'4.Đơn hàng'!$B:$B,$A8,'4.Đơn hàng'!$P:$P,H$1)</f>
        <v>0</v>
      </c>
      <c r="I8" s="40">
        <f>SUMIFS('4.Đơn hàng'!$I:$I,'4.Đơn hàng'!$B:$B,$A8,'4.Đơn hàng'!$P:$P,I$1)</f>
        <v>0</v>
      </c>
      <c r="J8" s="40">
        <f>SUMIFS('4.Đơn hàng'!$I:$I,'4.Đơn hàng'!$B:$B,$A8,'4.Đơn hàng'!$P:$P,J$1)</f>
        <v>1643334.259</v>
      </c>
      <c r="K8" s="40">
        <f>SUMIFS('4.Đơn hàng'!$I:$I,'4.Đơn hàng'!$B:$B,$A8,'4.Đơn hàng'!$P:$P,K$1)</f>
        <v>0</v>
      </c>
      <c r="L8" s="40">
        <f>SUMIFS('4.Đơn hàng'!$I:$I,'4.Đơn hàng'!$B:$B,$A8,'4.Đơn hàng'!$P:$P,L$1)</f>
        <v>0</v>
      </c>
      <c r="M8" s="40">
        <f>SUMIFS('4.Đơn hàng'!$I:$I,'4.Đơn hàng'!$B:$B,$A8,'4.Đơn hàng'!$P:$P,M$1)</f>
        <v>0</v>
      </c>
      <c r="N8" s="40">
        <f>SUMIFS('4.Đơn hàng'!$I:$I,'4.Đơn hàng'!$B:$B,$A8,'4.Đơn hàng'!$P:$P,N$1)</f>
        <v>0</v>
      </c>
      <c r="O8" s="40">
        <f>SUMIFS('4.Đơn hàng'!$I:$I,'4.Đơn hàng'!$B:$B,$A8,'4.Đơn hàng'!$P:$P,O$1)</f>
        <v>0</v>
      </c>
      <c r="P8" s="40">
        <f>SUMIFS('4.Đơn hàng'!$I:$I,'4.Đơn hàng'!$B:$B,$A8,'4.Đơn hàng'!$P:$P,P$1)</f>
        <v>0</v>
      </c>
      <c r="Q8" s="40">
        <f>SUMIFS('4.Đơn hàng'!$I:$I,'4.Đơn hàng'!$B:$B,$A8,'4.Đơn hàng'!$P:$P,Q$1)</f>
        <v>0</v>
      </c>
      <c r="R8" s="40">
        <f>SUMIFS('4.Đơn hàng'!$I:$I,'4.Đơn hàng'!$B:$B,$A8,'4.Đơn hàng'!$P:$P,R$1)</f>
        <v>0</v>
      </c>
    </row>
    <row r="9">
      <c r="A9" s="16"/>
      <c r="B9" s="20" t="str">
        <f>IF(A9="","",VLOOKUP($A9,'4.Đơn hàng'!$B:$E,3,0))</f>
        <v/>
      </c>
      <c r="C9" s="20" t="str">
        <f>IF(B9="","",VLOOKUP($B9,'3.Khách hàng'!$A:$I,2,0))</f>
        <v/>
      </c>
      <c r="D9" s="35" t="str">
        <f>IF(A9="","",VLOOKUP($A9,'4.Đơn hàng'!$B:$N,2,0))</f>
        <v/>
      </c>
      <c r="E9" s="22">
        <f>SUMIF('4.Đơn hàng'!$B:$B,$A9,'4.Đơn hàng'!$H:$H)</f>
        <v>0</v>
      </c>
      <c r="F9" s="22">
        <f>SUMIFS('4.Đơn hàng'!$I:$I,'4.Đơn hàng'!$B:$B,$A9)</f>
        <v>0</v>
      </c>
      <c r="G9" s="40">
        <f>SUMIFS('4.Đơn hàng'!$I:$I,'4.Đơn hàng'!$B:$B,$A9,'4.Đơn hàng'!$P:$P,G$1)</f>
        <v>0</v>
      </c>
      <c r="H9" s="40">
        <f>SUMIFS('4.Đơn hàng'!$I:$I,'4.Đơn hàng'!$B:$B,$A9,'4.Đơn hàng'!$P:$P,H$1)</f>
        <v>0</v>
      </c>
      <c r="I9" s="40">
        <f>SUMIFS('4.Đơn hàng'!$I:$I,'4.Đơn hàng'!$B:$B,$A9,'4.Đơn hàng'!$P:$P,I$1)</f>
        <v>0</v>
      </c>
      <c r="J9" s="40">
        <f>SUMIFS('4.Đơn hàng'!$I:$I,'4.Đơn hàng'!$B:$B,$A9,'4.Đơn hàng'!$P:$P,J$1)</f>
        <v>0</v>
      </c>
      <c r="K9" s="40">
        <f>SUMIFS('4.Đơn hàng'!$I:$I,'4.Đơn hàng'!$B:$B,$A9,'4.Đơn hàng'!$P:$P,K$1)</f>
        <v>0</v>
      </c>
      <c r="L9" s="40">
        <f>SUMIFS('4.Đơn hàng'!$I:$I,'4.Đơn hàng'!$B:$B,$A9,'4.Đơn hàng'!$P:$P,L$1)</f>
        <v>0</v>
      </c>
      <c r="M9" s="40">
        <f>SUMIFS('4.Đơn hàng'!$I:$I,'4.Đơn hàng'!$B:$B,$A9,'4.Đơn hàng'!$P:$P,M$1)</f>
        <v>0</v>
      </c>
      <c r="N9" s="40">
        <f>SUMIFS('4.Đơn hàng'!$I:$I,'4.Đơn hàng'!$B:$B,$A9,'4.Đơn hàng'!$P:$P,N$1)</f>
        <v>0</v>
      </c>
      <c r="O9" s="40">
        <f>SUMIFS('4.Đơn hàng'!$I:$I,'4.Đơn hàng'!$B:$B,$A9,'4.Đơn hàng'!$P:$P,O$1)</f>
        <v>0</v>
      </c>
      <c r="P9" s="40">
        <f>SUMIFS('4.Đơn hàng'!$I:$I,'4.Đơn hàng'!$B:$B,$A9,'4.Đơn hàng'!$P:$P,P$1)</f>
        <v>0</v>
      </c>
      <c r="Q9" s="40">
        <f>SUMIFS('4.Đơn hàng'!$I:$I,'4.Đơn hàng'!$B:$B,$A9,'4.Đơn hàng'!$P:$P,Q$1)</f>
        <v>0</v>
      </c>
      <c r="R9" s="40">
        <f>SUMIFS('4.Đơn hàng'!$I:$I,'4.Đơn hàng'!$B:$B,$A9,'4.Đơn hàng'!$P:$P,R$1)</f>
        <v>0</v>
      </c>
    </row>
    <row r="10">
      <c r="A10" s="16"/>
      <c r="B10" s="20" t="str">
        <f>IF(A10="","",VLOOKUP($A10,'4.Đơn hàng'!$B:$E,3,0))</f>
        <v/>
      </c>
      <c r="C10" s="20" t="str">
        <f>IF(B10="","",VLOOKUP($B10,'3.Khách hàng'!$A:$I,2,0))</f>
        <v/>
      </c>
      <c r="D10" s="35" t="str">
        <f>IF(A10="","",VLOOKUP($A10,'4.Đơn hàng'!$B:$N,2,0))</f>
        <v/>
      </c>
      <c r="E10" s="22">
        <f>SUMIF('4.Đơn hàng'!$B:$B,$A10,'4.Đơn hàng'!$H:$H)</f>
        <v>0</v>
      </c>
      <c r="F10" s="22">
        <f>SUMIFS('4.Đơn hàng'!$I:$I,'4.Đơn hàng'!$B:$B,$A10)</f>
        <v>0</v>
      </c>
      <c r="G10" s="40">
        <f>SUMIFS('4.Đơn hàng'!$I:$I,'4.Đơn hàng'!$B:$B,$A10,'4.Đơn hàng'!$P:$P,G$1)</f>
        <v>0</v>
      </c>
      <c r="H10" s="40">
        <f>SUMIFS('4.Đơn hàng'!$I:$I,'4.Đơn hàng'!$B:$B,$A10,'4.Đơn hàng'!$P:$P,H$1)</f>
        <v>0</v>
      </c>
      <c r="I10" s="40">
        <f>SUMIFS('4.Đơn hàng'!$I:$I,'4.Đơn hàng'!$B:$B,$A10,'4.Đơn hàng'!$P:$P,I$1)</f>
        <v>0</v>
      </c>
      <c r="J10" s="40">
        <f>SUMIFS('4.Đơn hàng'!$I:$I,'4.Đơn hàng'!$B:$B,$A10,'4.Đơn hàng'!$P:$P,J$1)</f>
        <v>0</v>
      </c>
      <c r="K10" s="40">
        <f>SUMIFS('4.Đơn hàng'!$I:$I,'4.Đơn hàng'!$B:$B,$A10,'4.Đơn hàng'!$P:$P,K$1)</f>
        <v>0</v>
      </c>
      <c r="L10" s="40">
        <f>SUMIFS('4.Đơn hàng'!$I:$I,'4.Đơn hàng'!$B:$B,$A10,'4.Đơn hàng'!$P:$P,L$1)</f>
        <v>0</v>
      </c>
      <c r="M10" s="40">
        <f>SUMIFS('4.Đơn hàng'!$I:$I,'4.Đơn hàng'!$B:$B,$A10,'4.Đơn hàng'!$P:$P,M$1)</f>
        <v>0</v>
      </c>
      <c r="N10" s="40">
        <f>SUMIFS('4.Đơn hàng'!$I:$I,'4.Đơn hàng'!$B:$B,$A10,'4.Đơn hàng'!$P:$P,N$1)</f>
        <v>0</v>
      </c>
      <c r="O10" s="40">
        <f>SUMIFS('4.Đơn hàng'!$I:$I,'4.Đơn hàng'!$B:$B,$A10,'4.Đơn hàng'!$P:$P,O$1)</f>
        <v>0</v>
      </c>
      <c r="P10" s="40">
        <f>SUMIFS('4.Đơn hàng'!$I:$I,'4.Đơn hàng'!$B:$B,$A10,'4.Đơn hàng'!$P:$P,P$1)</f>
        <v>0</v>
      </c>
      <c r="Q10" s="40">
        <f>SUMIFS('4.Đơn hàng'!$I:$I,'4.Đơn hàng'!$B:$B,$A10,'4.Đơn hàng'!$P:$P,Q$1)</f>
        <v>0</v>
      </c>
      <c r="R10" s="40">
        <f>SUMIFS('4.Đơn hàng'!$I:$I,'4.Đơn hàng'!$B:$B,$A10,'4.Đơn hàng'!$P:$P,R$1)</f>
        <v>0</v>
      </c>
    </row>
    <row r="11">
      <c r="A11" s="16"/>
      <c r="B11" s="20" t="str">
        <f>IF(A11="","",VLOOKUP($A11,'4.Đơn hàng'!$B:$E,3,0))</f>
        <v/>
      </c>
      <c r="C11" s="20" t="str">
        <f>IF(B11="","",VLOOKUP($B11,'3.Khách hàng'!$A:$I,2,0))</f>
        <v/>
      </c>
      <c r="D11" s="35" t="str">
        <f>IF(A11="","",VLOOKUP($A11,'4.Đơn hàng'!$B:$N,2,0))</f>
        <v/>
      </c>
      <c r="E11" s="22">
        <f>SUMIF('4.Đơn hàng'!$B:$B,$A11,'4.Đơn hàng'!$H:$H)</f>
        <v>0</v>
      </c>
      <c r="F11" s="22">
        <f>SUMIFS('4.Đơn hàng'!$I:$I,'4.Đơn hàng'!$B:$B,$A11)</f>
        <v>0</v>
      </c>
      <c r="G11" s="40">
        <f>SUMIFS('4.Đơn hàng'!$I:$I,'4.Đơn hàng'!$B:$B,$A11,'4.Đơn hàng'!$P:$P,G$1)</f>
        <v>0</v>
      </c>
      <c r="H11" s="40">
        <f>SUMIFS('4.Đơn hàng'!$I:$I,'4.Đơn hàng'!$B:$B,$A11,'4.Đơn hàng'!$P:$P,H$1)</f>
        <v>0</v>
      </c>
      <c r="I11" s="40">
        <f>SUMIFS('4.Đơn hàng'!$I:$I,'4.Đơn hàng'!$B:$B,$A11,'4.Đơn hàng'!$P:$P,I$1)</f>
        <v>0</v>
      </c>
      <c r="J11" s="40">
        <f>SUMIFS('4.Đơn hàng'!$I:$I,'4.Đơn hàng'!$B:$B,$A11,'4.Đơn hàng'!$P:$P,J$1)</f>
        <v>0</v>
      </c>
      <c r="K11" s="40">
        <f>SUMIFS('4.Đơn hàng'!$I:$I,'4.Đơn hàng'!$B:$B,$A11,'4.Đơn hàng'!$P:$P,K$1)</f>
        <v>0</v>
      </c>
      <c r="L11" s="40">
        <f>SUMIFS('4.Đơn hàng'!$I:$I,'4.Đơn hàng'!$B:$B,$A11,'4.Đơn hàng'!$P:$P,L$1)</f>
        <v>0</v>
      </c>
      <c r="M11" s="40">
        <f>SUMIFS('4.Đơn hàng'!$I:$I,'4.Đơn hàng'!$B:$B,$A11,'4.Đơn hàng'!$P:$P,M$1)</f>
        <v>0</v>
      </c>
      <c r="N11" s="40">
        <f>SUMIFS('4.Đơn hàng'!$I:$I,'4.Đơn hàng'!$B:$B,$A11,'4.Đơn hàng'!$P:$P,N$1)</f>
        <v>0</v>
      </c>
      <c r="O11" s="40">
        <f>SUMIFS('4.Đơn hàng'!$I:$I,'4.Đơn hàng'!$B:$B,$A11,'4.Đơn hàng'!$P:$P,O$1)</f>
        <v>0</v>
      </c>
      <c r="P11" s="40">
        <f>SUMIFS('4.Đơn hàng'!$I:$I,'4.Đơn hàng'!$B:$B,$A11,'4.Đơn hàng'!$P:$P,P$1)</f>
        <v>0</v>
      </c>
      <c r="Q11" s="40">
        <f>SUMIFS('4.Đơn hàng'!$I:$I,'4.Đơn hàng'!$B:$B,$A11,'4.Đơn hàng'!$P:$P,Q$1)</f>
        <v>0</v>
      </c>
      <c r="R11" s="40">
        <f>SUMIFS('4.Đơn hàng'!$I:$I,'4.Đơn hàng'!$B:$B,$A11,'4.Đơn hàng'!$P:$P,R$1)</f>
        <v>0</v>
      </c>
    </row>
    <row r="12">
      <c r="A12" s="16"/>
      <c r="B12" s="20" t="str">
        <f>IF(A12="","",VLOOKUP($A12,'4.Đơn hàng'!$B:$E,3,0))</f>
        <v/>
      </c>
      <c r="C12" s="20" t="str">
        <f>IF(B12="","",VLOOKUP($B12,'3.Khách hàng'!$A:$I,2,0))</f>
        <v/>
      </c>
      <c r="D12" s="35" t="str">
        <f>IF(A12="","",VLOOKUP($A12,'4.Đơn hàng'!$B:$N,2,0))</f>
        <v/>
      </c>
      <c r="E12" s="22">
        <f>SUMIF('4.Đơn hàng'!$B:$B,$A12,'4.Đơn hàng'!$H:$H)</f>
        <v>0</v>
      </c>
      <c r="F12" s="22">
        <f>SUMIFS('4.Đơn hàng'!$I:$I,'4.Đơn hàng'!$B:$B,$A12)</f>
        <v>0</v>
      </c>
      <c r="G12" s="40">
        <f>SUMIFS('4.Đơn hàng'!$I:$I,'4.Đơn hàng'!$B:$B,$A12,'4.Đơn hàng'!$P:$P,G$1)</f>
        <v>0</v>
      </c>
      <c r="H12" s="40">
        <f>SUMIFS('4.Đơn hàng'!$I:$I,'4.Đơn hàng'!$B:$B,$A12,'4.Đơn hàng'!$P:$P,H$1)</f>
        <v>0</v>
      </c>
      <c r="I12" s="40">
        <f>SUMIFS('4.Đơn hàng'!$I:$I,'4.Đơn hàng'!$B:$B,$A12,'4.Đơn hàng'!$P:$P,I$1)</f>
        <v>0</v>
      </c>
      <c r="J12" s="40">
        <f>SUMIFS('4.Đơn hàng'!$I:$I,'4.Đơn hàng'!$B:$B,$A12,'4.Đơn hàng'!$P:$P,J$1)</f>
        <v>0</v>
      </c>
      <c r="K12" s="40">
        <f>SUMIFS('4.Đơn hàng'!$I:$I,'4.Đơn hàng'!$B:$B,$A12,'4.Đơn hàng'!$P:$P,K$1)</f>
        <v>0</v>
      </c>
      <c r="L12" s="40">
        <f>SUMIFS('4.Đơn hàng'!$I:$I,'4.Đơn hàng'!$B:$B,$A12,'4.Đơn hàng'!$P:$P,L$1)</f>
        <v>0</v>
      </c>
      <c r="M12" s="40">
        <f>SUMIFS('4.Đơn hàng'!$I:$I,'4.Đơn hàng'!$B:$B,$A12,'4.Đơn hàng'!$P:$P,M$1)</f>
        <v>0</v>
      </c>
      <c r="N12" s="40">
        <f>SUMIFS('4.Đơn hàng'!$I:$I,'4.Đơn hàng'!$B:$B,$A12,'4.Đơn hàng'!$P:$P,N$1)</f>
        <v>0</v>
      </c>
      <c r="O12" s="40">
        <f>SUMIFS('4.Đơn hàng'!$I:$I,'4.Đơn hàng'!$B:$B,$A12,'4.Đơn hàng'!$P:$P,O$1)</f>
        <v>0</v>
      </c>
      <c r="P12" s="40">
        <f>SUMIFS('4.Đơn hàng'!$I:$I,'4.Đơn hàng'!$B:$B,$A12,'4.Đơn hàng'!$P:$P,P$1)</f>
        <v>0</v>
      </c>
      <c r="Q12" s="40">
        <f>SUMIFS('4.Đơn hàng'!$I:$I,'4.Đơn hàng'!$B:$B,$A12,'4.Đơn hàng'!$P:$P,Q$1)</f>
        <v>0</v>
      </c>
      <c r="R12" s="40">
        <f>SUMIFS('4.Đơn hàng'!$I:$I,'4.Đơn hàng'!$B:$B,$A12,'4.Đơn hàng'!$P:$P,R$1)</f>
        <v>0</v>
      </c>
    </row>
    <row r="13">
      <c r="A13" s="16"/>
      <c r="B13" s="20" t="str">
        <f>IF(A13="","",VLOOKUP($A13,'4.Đơn hàng'!$B:$E,3,0))</f>
        <v/>
      </c>
      <c r="C13" s="20" t="str">
        <f>IF(B13="","",VLOOKUP($B13,'3.Khách hàng'!$A:$I,2,0))</f>
        <v/>
      </c>
      <c r="D13" s="35" t="str">
        <f>IF(A13="","",VLOOKUP($A13,'4.Đơn hàng'!$B:$N,2,0))</f>
        <v/>
      </c>
      <c r="E13" s="22">
        <f>SUMIF('4.Đơn hàng'!$B:$B,$A13,'4.Đơn hàng'!$H:$H)</f>
        <v>0</v>
      </c>
      <c r="F13" s="22">
        <f>SUMIFS('4.Đơn hàng'!$I:$I,'4.Đơn hàng'!$B:$B,$A13)</f>
        <v>0</v>
      </c>
      <c r="G13" s="40">
        <f>SUMIFS('4.Đơn hàng'!$I:$I,'4.Đơn hàng'!$B:$B,$A13,'4.Đơn hàng'!$P:$P,G$1)</f>
        <v>0</v>
      </c>
      <c r="H13" s="40">
        <f>SUMIFS('4.Đơn hàng'!$I:$I,'4.Đơn hàng'!$B:$B,$A13,'4.Đơn hàng'!$P:$P,H$1)</f>
        <v>0</v>
      </c>
      <c r="I13" s="40">
        <f>SUMIFS('4.Đơn hàng'!$I:$I,'4.Đơn hàng'!$B:$B,$A13,'4.Đơn hàng'!$P:$P,I$1)</f>
        <v>0</v>
      </c>
      <c r="J13" s="40">
        <f>SUMIFS('4.Đơn hàng'!$I:$I,'4.Đơn hàng'!$B:$B,$A13,'4.Đơn hàng'!$P:$P,J$1)</f>
        <v>0</v>
      </c>
      <c r="K13" s="40">
        <f>SUMIFS('4.Đơn hàng'!$I:$I,'4.Đơn hàng'!$B:$B,$A13,'4.Đơn hàng'!$P:$P,K$1)</f>
        <v>0</v>
      </c>
      <c r="L13" s="40">
        <f>SUMIFS('4.Đơn hàng'!$I:$I,'4.Đơn hàng'!$B:$B,$A13,'4.Đơn hàng'!$P:$P,L$1)</f>
        <v>0</v>
      </c>
      <c r="M13" s="40">
        <f>SUMIFS('4.Đơn hàng'!$I:$I,'4.Đơn hàng'!$B:$B,$A13,'4.Đơn hàng'!$P:$P,M$1)</f>
        <v>0</v>
      </c>
      <c r="N13" s="40">
        <f>SUMIFS('4.Đơn hàng'!$I:$I,'4.Đơn hàng'!$B:$B,$A13,'4.Đơn hàng'!$P:$P,N$1)</f>
        <v>0</v>
      </c>
      <c r="O13" s="40">
        <f>SUMIFS('4.Đơn hàng'!$I:$I,'4.Đơn hàng'!$B:$B,$A13,'4.Đơn hàng'!$P:$P,O$1)</f>
        <v>0</v>
      </c>
      <c r="P13" s="40">
        <f>SUMIFS('4.Đơn hàng'!$I:$I,'4.Đơn hàng'!$B:$B,$A13,'4.Đơn hàng'!$P:$P,P$1)</f>
        <v>0</v>
      </c>
      <c r="Q13" s="40">
        <f>SUMIFS('4.Đơn hàng'!$I:$I,'4.Đơn hàng'!$B:$B,$A13,'4.Đơn hàng'!$P:$P,Q$1)</f>
        <v>0</v>
      </c>
      <c r="R13" s="40">
        <f>SUMIFS('4.Đơn hàng'!$I:$I,'4.Đơn hàng'!$B:$B,$A13,'4.Đơn hàng'!$P:$P,R$1)</f>
        <v>0</v>
      </c>
    </row>
    <row r="14">
      <c r="A14" s="16"/>
      <c r="B14" s="20" t="str">
        <f>IF(A14="","",VLOOKUP($A14,'4.Đơn hàng'!$B:$E,3,0))</f>
        <v/>
      </c>
      <c r="C14" s="20" t="str">
        <f>IF(B14="","",VLOOKUP($B14,'3.Khách hàng'!$A:$I,2,0))</f>
        <v/>
      </c>
      <c r="D14" s="35" t="str">
        <f>IF(A14="","",VLOOKUP($A14,'4.Đơn hàng'!$B:$N,2,0))</f>
        <v/>
      </c>
      <c r="E14" s="22">
        <f>SUMIF('4.Đơn hàng'!$B:$B,$A14,'4.Đơn hàng'!$H:$H)</f>
        <v>0</v>
      </c>
      <c r="F14" s="22">
        <f>SUMIFS('4.Đơn hàng'!$I:$I,'4.Đơn hàng'!$B:$B,$A14)</f>
        <v>0</v>
      </c>
      <c r="G14" s="40">
        <f>SUMIFS('4.Đơn hàng'!$I:$I,'4.Đơn hàng'!$B:$B,$A14,'4.Đơn hàng'!$P:$P,G$1)</f>
        <v>0</v>
      </c>
      <c r="H14" s="40">
        <f>SUMIFS('4.Đơn hàng'!$I:$I,'4.Đơn hàng'!$B:$B,$A14,'4.Đơn hàng'!$P:$P,H$1)</f>
        <v>0</v>
      </c>
      <c r="I14" s="40">
        <f>SUMIFS('4.Đơn hàng'!$I:$I,'4.Đơn hàng'!$B:$B,$A14,'4.Đơn hàng'!$P:$P,I$1)</f>
        <v>0</v>
      </c>
      <c r="J14" s="40">
        <f>SUMIFS('4.Đơn hàng'!$I:$I,'4.Đơn hàng'!$B:$B,$A14,'4.Đơn hàng'!$P:$P,J$1)</f>
        <v>0</v>
      </c>
      <c r="K14" s="40">
        <f>SUMIFS('4.Đơn hàng'!$I:$I,'4.Đơn hàng'!$B:$B,$A14,'4.Đơn hàng'!$P:$P,K$1)</f>
        <v>0</v>
      </c>
      <c r="L14" s="40">
        <f>SUMIFS('4.Đơn hàng'!$I:$I,'4.Đơn hàng'!$B:$B,$A14,'4.Đơn hàng'!$P:$P,L$1)</f>
        <v>0</v>
      </c>
      <c r="M14" s="40">
        <f>SUMIFS('4.Đơn hàng'!$I:$I,'4.Đơn hàng'!$B:$B,$A14,'4.Đơn hàng'!$P:$P,M$1)</f>
        <v>0</v>
      </c>
      <c r="N14" s="40">
        <f>SUMIFS('4.Đơn hàng'!$I:$I,'4.Đơn hàng'!$B:$B,$A14,'4.Đơn hàng'!$P:$P,N$1)</f>
        <v>0</v>
      </c>
      <c r="O14" s="40">
        <f>SUMIFS('4.Đơn hàng'!$I:$I,'4.Đơn hàng'!$B:$B,$A14,'4.Đơn hàng'!$P:$P,O$1)</f>
        <v>0</v>
      </c>
      <c r="P14" s="40">
        <f>SUMIFS('4.Đơn hàng'!$I:$I,'4.Đơn hàng'!$B:$B,$A14,'4.Đơn hàng'!$P:$P,P$1)</f>
        <v>0</v>
      </c>
      <c r="Q14" s="40">
        <f>SUMIFS('4.Đơn hàng'!$I:$I,'4.Đơn hàng'!$B:$B,$A14,'4.Đơn hàng'!$P:$P,Q$1)</f>
        <v>0</v>
      </c>
      <c r="R14" s="40">
        <f>SUMIFS('4.Đơn hàng'!$I:$I,'4.Đơn hàng'!$B:$B,$A14,'4.Đơn hàng'!$P:$P,R$1)</f>
        <v>0</v>
      </c>
    </row>
    <row r="15">
      <c r="A15" s="16"/>
      <c r="B15" s="20" t="str">
        <f>IF(A15="","",VLOOKUP($A15,'4.Đơn hàng'!$B:$E,3,0))</f>
        <v/>
      </c>
      <c r="C15" s="20" t="str">
        <f>IF(B15="","",VLOOKUP($B15,'3.Khách hàng'!$A:$I,2,0))</f>
        <v/>
      </c>
      <c r="D15" s="35" t="str">
        <f>IF(A15="","",VLOOKUP($A15,'4.Đơn hàng'!$B:$N,2,0))</f>
        <v/>
      </c>
      <c r="E15" s="22">
        <f>SUMIF('4.Đơn hàng'!$B:$B,$A15,'4.Đơn hàng'!$H:$H)</f>
        <v>0</v>
      </c>
      <c r="F15" s="22">
        <f>SUMIFS('4.Đơn hàng'!$I:$I,'4.Đơn hàng'!$B:$B,$A15)</f>
        <v>0</v>
      </c>
      <c r="G15" s="40">
        <f>SUMIFS('4.Đơn hàng'!$I:$I,'4.Đơn hàng'!$B:$B,$A15,'4.Đơn hàng'!$P:$P,G$1)</f>
        <v>0</v>
      </c>
      <c r="H15" s="40">
        <f>SUMIFS('4.Đơn hàng'!$I:$I,'4.Đơn hàng'!$B:$B,$A15,'4.Đơn hàng'!$P:$P,H$1)</f>
        <v>0</v>
      </c>
      <c r="I15" s="40">
        <f>SUMIFS('4.Đơn hàng'!$I:$I,'4.Đơn hàng'!$B:$B,$A15,'4.Đơn hàng'!$P:$P,I$1)</f>
        <v>0</v>
      </c>
      <c r="J15" s="40">
        <f>SUMIFS('4.Đơn hàng'!$I:$I,'4.Đơn hàng'!$B:$B,$A15,'4.Đơn hàng'!$P:$P,J$1)</f>
        <v>0</v>
      </c>
      <c r="K15" s="40">
        <f>SUMIFS('4.Đơn hàng'!$I:$I,'4.Đơn hàng'!$B:$B,$A15,'4.Đơn hàng'!$P:$P,K$1)</f>
        <v>0</v>
      </c>
      <c r="L15" s="40">
        <f>SUMIFS('4.Đơn hàng'!$I:$I,'4.Đơn hàng'!$B:$B,$A15,'4.Đơn hàng'!$P:$P,L$1)</f>
        <v>0</v>
      </c>
      <c r="M15" s="40">
        <f>SUMIFS('4.Đơn hàng'!$I:$I,'4.Đơn hàng'!$B:$B,$A15,'4.Đơn hàng'!$P:$P,M$1)</f>
        <v>0</v>
      </c>
      <c r="N15" s="40">
        <f>SUMIFS('4.Đơn hàng'!$I:$I,'4.Đơn hàng'!$B:$B,$A15,'4.Đơn hàng'!$P:$P,N$1)</f>
        <v>0</v>
      </c>
      <c r="O15" s="40">
        <f>SUMIFS('4.Đơn hàng'!$I:$I,'4.Đơn hàng'!$B:$B,$A15,'4.Đơn hàng'!$P:$P,O$1)</f>
        <v>0</v>
      </c>
      <c r="P15" s="40">
        <f>SUMIFS('4.Đơn hàng'!$I:$I,'4.Đơn hàng'!$B:$B,$A15,'4.Đơn hàng'!$P:$P,P$1)</f>
        <v>0</v>
      </c>
      <c r="Q15" s="40">
        <f>SUMIFS('4.Đơn hàng'!$I:$I,'4.Đơn hàng'!$B:$B,$A15,'4.Đơn hàng'!$P:$P,Q$1)</f>
        <v>0</v>
      </c>
      <c r="R15" s="40">
        <f>SUMIFS('4.Đơn hàng'!$I:$I,'4.Đơn hàng'!$B:$B,$A15,'4.Đơn hàng'!$P:$P,R$1)</f>
        <v>0</v>
      </c>
    </row>
    <row r="16">
      <c r="A16" s="16"/>
      <c r="B16" s="20" t="str">
        <f>IF(A16="","",VLOOKUP($A16,'4.Đơn hàng'!$B:$E,3,0))</f>
        <v/>
      </c>
      <c r="C16" s="20" t="str">
        <f>IF(B16="","",VLOOKUP($B16,'3.Khách hàng'!$A:$I,2,0))</f>
        <v/>
      </c>
      <c r="D16" s="35" t="str">
        <f>IF(A16="","",VLOOKUP($A16,'4.Đơn hàng'!$B:$N,2,0))</f>
        <v/>
      </c>
      <c r="E16" s="22">
        <f>SUMIF('4.Đơn hàng'!$B:$B,$A16,'4.Đơn hàng'!$H:$H)</f>
        <v>0</v>
      </c>
      <c r="F16" s="22">
        <f>SUMIFS('4.Đơn hàng'!$I:$I,'4.Đơn hàng'!$B:$B,$A16)</f>
        <v>0</v>
      </c>
      <c r="G16" s="40">
        <f>SUMIFS('4.Đơn hàng'!$I:$I,'4.Đơn hàng'!$B:$B,$A16,'4.Đơn hàng'!$P:$P,G$1)</f>
        <v>0</v>
      </c>
      <c r="H16" s="40">
        <f>SUMIFS('4.Đơn hàng'!$I:$I,'4.Đơn hàng'!$B:$B,$A16,'4.Đơn hàng'!$P:$P,H$1)</f>
        <v>0</v>
      </c>
      <c r="I16" s="40">
        <f>SUMIFS('4.Đơn hàng'!$I:$I,'4.Đơn hàng'!$B:$B,$A16,'4.Đơn hàng'!$P:$P,I$1)</f>
        <v>0</v>
      </c>
      <c r="J16" s="40">
        <f>SUMIFS('4.Đơn hàng'!$I:$I,'4.Đơn hàng'!$B:$B,$A16,'4.Đơn hàng'!$P:$P,J$1)</f>
        <v>0</v>
      </c>
      <c r="K16" s="40">
        <f>SUMIFS('4.Đơn hàng'!$I:$I,'4.Đơn hàng'!$B:$B,$A16,'4.Đơn hàng'!$P:$P,K$1)</f>
        <v>0</v>
      </c>
      <c r="L16" s="40">
        <f>SUMIFS('4.Đơn hàng'!$I:$I,'4.Đơn hàng'!$B:$B,$A16,'4.Đơn hàng'!$P:$P,L$1)</f>
        <v>0</v>
      </c>
      <c r="M16" s="40">
        <f>SUMIFS('4.Đơn hàng'!$I:$I,'4.Đơn hàng'!$B:$B,$A16,'4.Đơn hàng'!$P:$P,M$1)</f>
        <v>0</v>
      </c>
      <c r="N16" s="40">
        <f>SUMIFS('4.Đơn hàng'!$I:$I,'4.Đơn hàng'!$B:$B,$A16,'4.Đơn hàng'!$P:$P,N$1)</f>
        <v>0</v>
      </c>
      <c r="O16" s="40">
        <f>SUMIFS('4.Đơn hàng'!$I:$I,'4.Đơn hàng'!$B:$B,$A16,'4.Đơn hàng'!$P:$P,O$1)</f>
        <v>0</v>
      </c>
      <c r="P16" s="40">
        <f>SUMIFS('4.Đơn hàng'!$I:$I,'4.Đơn hàng'!$B:$B,$A16,'4.Đơn hàng'!$P:$P,P$1)</f>
        <v>0</v>
      </c>
      <c r="Q16" s="40">
        <f>SUMIFS('4.Đơn hàng'!$I:$I,'4.Đơn hàng'!$B:$B,$A16,'4.Đơn hàng'!$P:$P,Q$1)</f>
        <v>0</v>
      </c>
      <c r="R16" s="40">
        <f>SUMIFS('4.Đơn hàng'!$I:$I,'4.Đơn hàng'!$B:$B,$A16,'4.Đơn hàng'!$P:$P,R$1)</f>
        <v>0</v>
      </c>
    </row>
  </sheetData>
  <dataValidations>
    <dataValidation type="list" allowBlank="1" showErrorMessage="1" sqref="A3:A16">
      <formula1>'4.Đơn hàng'!$B$4:$B$52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7.5"/>
    <col customWidth="1" min="2" max="2" width="28.63"/>
    <col customWidth="1" min="3" max="3" width="14.63"/>
    <col customWidth="1" min="6" max="6" width="15.0"/>
    <col customWidth="1" min="7" max="7" width="32.38"/>
    <col customWidth="1" min="8" max="8" width="22.0"/>
    <col customWidth="1" min="9" max="9" width="23.5"/>
  </cols>
  <sheetData>
    <row r="1">
      <c r="A1" s="119" t="s">
        <v>43</v>
      </c>
      <c r="B1" s="119" t="s">
        <v>131</v>
      </c>
      <c r="C1" s="120" t="s">
        <v>132</v>
      </c>
      <c r="D1" s="120" t="s">
        <v>133</v>
      </c>
      <c r="E1" s="120" t="s">
        <v>134</v>
      </c>
      <c r="F1" s="120" t="s">
        <v>135</v>
      </c>
      <c r="G1" s="122" t="s">
        <v>136</v>
      </c>
      <c r="H1" s="119" t="s">
        <v>138</v>
      </c>
      <c r="I1" s="119" t="s">
        <v>139</v>
      </c>
      <c r="J1" s="119" t="s">
        <v>140</v>
      </c>
      <c r="K1" s="119" t="s">
        <v>141</v>
      </c>
      <c r="L1" s="119" t="s">
        <v>142</v>
      </c>
    </row>
    <row r="2">
      <c r="A2" s="92"/>
      <c r="B2" s="123"/>
      <c r="C2" s="124"/>
      <c r="D2" s="124">
        <f t="shared" ref="D2:F2" si="1">SUM(D3:D110)</f>
        <v>1665222383</v>
      </c>
      <c r="E2" s="124">
        <f t="shared" si="1"/>
        <v>1212725415</v>
      </c>
      <c r="F2" s="124">
        <f t="shared" si="1"/>
        <v>442496968</v>
      </c>
      <c r="G2" s="99"/>
      <c r="H2" s="99"/>
      <c r="I2" s="99"/>
      <c r="J2" s="125"/>
      <c r="K2" s="125"/>
      <c r="L2" s="125"/>
    </row>
    <row r="3">
      <c r="A3" s="92" t="s">
        <v>144</v>
      </c>
      <c r="B3" s="123" t="s">
        <v>145</v>
      </c>
      <c r="C3" s="127"/>
      <c r="D3" s="127">
        <f>SUMIF('4.Đơn hàng'!$D:$D,$A3,'4.Đơn hàng'!$H:$H)</f>
        <v>204104880</v>
      </c>
      <c r="E3" s="129">
        <f>SUMIF('5.Thu tiền'!$D:$D,$A3,'5.Thu tiền'!$H:$H)</f>
        <v>5000000</v>
      </c>
      <c r="F3" s="129">
        <f t="shared" ref="F3:F110" si="2">D3-E3-C3</f>
        <v>199104880</v>
      </c>
      <c r="G3" s="99"/>
      <c r="H3" s="99"/>
      <c r="I3" s="99"/>
      <c r="J3" s="125"/>
      <c r="K3" s="125"/>
      <c r="L3" s="125"/>
    </row>
    <row r="4">
      <c r="A4" s="92" t="s">
        <v>143</v>
      </c>
      <c r="B4" s="123" t="s">
        <v>147</v>
      </c>
      <c r="C4" s="127"/>
      <c r="D4" s="127">
        <f>SUMIF('4.Đơn hàng'!$D:$D,$A4,'4.Đơn hàng'!$H:$H)</f>
        <v>986000</v>
      </c>
      <c r="E4" s="129">
        <f>SUMIF('5.Thu tiền'!$D:$D,$A4,'5.Thu tiền'!$H:$H)</f>
        <v>986000</v>
      </c>
      <c r="F4" s="129">
        <f t="shared" si="2"/>
        <v>0</v>
      </c>
      <c r="G4" s="99"/>
      <c r="H4" s="99"/>
      <c r="I4" s="99"/>
      <c r="J4" s="125"/>
      <c r="K4" s="125"/>
      <c r="L4" s="125"/>
    </row>
    <row r="5">
      <c r="A5" s="92" t="s">
        <v>146</v>
      </c>
      <c r="B5" s="123" t="s">
        <v>149</v>
      </c>
      <c r="C5" s="127"/>
      <c r="D5" s="127">
        <f>SUMIF('4.Đơn hàng'!$D:$D,$A5,'4.Đơn hàng'!$H:$H)</f>
        <v>199000</v>
      </c>
      <c r="E5" s="129">
        <f>SUMIF('5.Thu tiền'!$D:$D,$A5,'5.Thu tiền'!$H:$H)</f>
        <v>199000</v>
      </c>
      <c r="F5" s="129">
        <f t="shared" si="2"/>
        <v>0</v>
      </c>
      <c r="G5" s="99"/>
      <c r="H5" s="99"/>
      <c r="I5" s="99"/>
      <c r="J5" s="125"/>
      <c r="K5" s="125"/>
      <c r="L5" s="125"/>
    </row>
    <row r="6">
      <c r="A6" s="92" t="s">
        <v>148</v>
      </c>
      <c r="B6" s="123" t="s">
        <v>151</v>
      </c>
      <c r="C6" s="127"/>
      <c r="D6" s="127">
        <f>SUMIF('4.Đơn hàng'!$D:$D,$A6,'4.Đơn hàng'!$H:$H)</f>
        <v>400000</v>
      </c>
      <c r="E6" s="129">
        <f>SUMIF('5.Thu tiền'!$D:$D,$A6,'5.Thu tiền'!$H:$H)</f>
        <v>400000</v>
      </c>
      <c r="F6" s="129">
        <f t="shared" si="2"/>
        <v>0</v>
      </c>
      <c r="G6" s="99"/>
      <c r="H6" s="99"/>
      <c r="I6" s="99"/>
      <c r="J6" s="125"/>
      <c r="K6" s="125"/>
      <c r="L6" s="125"/>
    </row>
    <row r="7">
      <c r="A7" s="92" t="s">
        <v>154</v>
      </c>
      <c r="B7" s="101" t="s">
        <v>155</v>
      </c>
      <c r="C7" s="127"/>
      <c r="D7" s="127">
        <f>SUMIF('4.Đơn hàng'!$D:$D,$A7,'4.Đơn hàng'!$H:$H)</f>
        <v>0</v>
      </c>
      <c r="E7" s="129">
        <f>SUMIF('5.Thu tiền'!$D:$D,$A7,'5.Thu tiền'!$H:$H)</f>
        <v>0</v>
      </c>
      <c r="F7" s="129">
        <f t="shared" si="2"/>
        <v>0</v>
      </c>
      <c r="G7" s="99"/>
      <c r="H7" s="99"/>
      <c r="I7" s="99"/>
      <c r="J7" s="125"/>
      <c r="K7" s="125"/>
      <c r="L7" s="125"/>
    </row>
    <row r="8">
      <c r="A8" s="92" t="s">
        <v>163</v>
      </c>
      <c r="B8" s="101" t="s">
        <v>165</v>
      </c>
      <c r="C8" s="127">
        <v>1.0E7</v>
      </c>
      <c r="D8" s="127">
        <f>SUMIF('4.Đơn hàng'!$D:$D,$A8,'4.Đơn hàng'!$H:$H)</f>
        <v>49664880</v>
      </c>
      <c r="E8" s="129">
        <f>SUMIF('5.Thu tiền'!$D:$D,$A8,'5.Thu tiền'!$H:$H)</f>
        <v>23287400</v>
      </c>
      <c r="F8" s="129">
        <f t="shared" si="2"/>
        <v>16377480</v>
      </c>
      <c r="G8" s="99"/>
      <c r="H8" s="99"/>
      <c r="I8" s="99"/>
      <c r="J8" s="125"/>
      <c r="K8" s="125"/>
      <c r="L8" s="125"/>
    </row>
    <row r="9">
      <c r="A9" s="92" t="s">
        <v>152</v>
      </c>
      <c r="B9" s="123" t="s">
        <v>168</v>
      </c>
      <c r="C9" s="127"/>
      <c r="D9" s="127">
        <f>SUMIF('4.Đơn hàng'!$D:$D,$A9,'4.Đơn hàng'!$H:$H)</f>
        <v>797000</v>
      </c>
      <c r="E9" s="129">
        <f>SUMIF('5.Thu tiền'!$D:$D,$A9,'5.Thu tiền'!$H:$H)</f>
        <v>797000</v>
      </c>
      <c r="F9" s="129">
        <f t="shared" si="2"/>
        <v>0</v>
      </c>
      <c r="G9" s="99"/>
      <c r="H9" s="99"/>
      <c r="I9" s="99"/>
      <c r="J9" s="125"/>
      <c r="K9" s="125"/>
      <c r="L9" s="125"/>
    </row>
    <row r="10">
      <c r="A10" s="92" t="s">
        <v>167</v>
      </c>
      <c r="B10" s="123" t="s">
        <v>169</v>
      </c>
      <c r="C10" s="127"/>
      <c r="D10" s="127">
        <f>SUMIF('4.Đơn hàng'!$D:$D,$A10,'4.Đơn hàng'!$H:$H)</f>
        <v>400000</v>
      </c>
      <c r="E10" s="129">
        <f>SUMIF('5.Thu tiền'!$D:$D,$A10,'5.Thu tiền'!$H:$H)</f>
        <v>400000</v>
      </c>
      <c r="F10" s="129">
        <f t="shared" si="2"/>
        <v>0</v>
      </c>
      <c r="G10" s="99"/>
      <c r="H10" s="99"/>
      <c r="I10" s="99"/>
      <c r="J10" s="125"/>
      <c r="K10" s="125"/>
      <c r="L10" s="125"/>
    </row>
    <row r="11">
      <c r="A11" s="92" t="s">
        <v>170</v>
      </c>
      <c r="B11" s="123" t="s">
        <v>171</v>
      </c>
      <c r="C11" s="127"/>
      <c r="D11" s="127">
        <f>SUMIF('4.Đơn hàng'!$D:$D,$A11,'4.Đơn hàng'!$H:$H)</f>
        <v>199000</v>
      </c>
      <c r="E11" s="129">
        <f>SUMIF('5.Thu tiền'!$D:$D,$A11,'5.Thu tiền'!$H:$H)</f>
        <v>199000</v>
      </c>
      <c r="F11" s="129">
        <f t="shared" si="2"/>
        <v>0</v>
      </c>
      <c r="G11" s="99"/>
      <c r="H11" s="99"/>
      <c r="I11" s="99"/>
      <c r="J11" s="125"/>
      <c r="K11" s="125"/>
      <c r="L11" s="125"/>
    </row>
    <row r="12">
      <c r="A12" s="92" t="s">
        <v>172</v>
      </c>
      <c r="B12" s="123" t="s">
        <v>173</v>
      </c>
      <c r="C12" s="127"/>
      <c r="D12" s="127">
        <f>SUMIF('4.Đơn hàng'!$D:$D,$A12,'4.Đơn hàng'!$H:$H)</f>
        <v>199000</v>
      </c>
      <c r="E12" s="129">
        <f>SUMIF('5.Thu tiền'!$D:$D,$A12,'5.Thu tiền'!$H:$H)</f>
        <v>199000</v>
      </c>
      <c r="F12" s="129">
        <f t="shared" si="2"/>
        <v>0</v>
      </c>
      <c r="G12" s="99"/>
      <c r="H12" s="99"/>
      <c r="I12" s="99"/>
      <c r="J12" s="125"/>
      <c r="K12" s="125"/>
      <c r="L12" s="125"/>
    </row>
    <row r="13">
      <c r="A13" s="92" t="s">
        <v>174</v>
      </c>
      <c r="B13" s="123" t="s">
        <v>175</v>
      </c>
      <c r="C13" s="127"/>
      <c r="D13" s="127">
        <f>SUMIF('4.Đơn hàng'!$D:$D,$A13,'4.Đơn hàng'!$H:$H)</f>
        <v>199000</v>
      </c>
      <c r="E13" s="129">
        <f>SUMIF('5.Thu tiền'!$D:$D,$A13,'5.Thu tiền'!$H:$H)</f>
        <v>199000</v>
      </c>
      <c r="F13" s="129">
        <f t="shared" si="2"/>
        <v>0</v>
      </c>
      <c r="G13" s="99"/>
      <c r="H13" s="99"/>
      <c r="I13" s="99"/>
      <c r="J13" s="125"/>
      <c r="K13" s="125"/>
      <c r="L13" s="125"/>
    </row>
    <row r="14">
      <c r="A14" s="92" t="s">
        <v>176</v>
      </c>
      <c r="B14" s="123" t="s">
        <v>177</v>
      </c>
      <c r="C14" s="127"/>
      <c r="D14" s="127">
        <f>SUMIF('4.Đơn hàng'!$D:$D,$A14,'4.Đơn hàng'!$H:$H)</f>
        <v>199000</v>
      </c>
      <c r="E14" s="129">
        <f>SUMIF('5.Thu tiền'!$D:$D,$A14,'5.Thu tiền'!$H:$H)</f>
        <v>199000</v>
      </c>
      <c r="F14" s="129">
        <f t="shared" si="2"/>
        <v>0</v>
      </c>
      <c r="G14" s="99"/>
      <c r="H14" s="99"/>
      <c r="I14" s="99"/>
      <c r="J14" s="125"/>
      <c r="K14" s="125"/>
      <c r="L14" s="125"/>
    </row>
    <row r="15">
      <c r="A15" s="92" t="s">
        <v>63</v>
      </c>
      <c r="B15" s="105" t="s">
        <v>178</v>
      </c>
      <c r="C15" s="127"/>
      <c r="D15" s="127">
        <f>SUMIF('4.Đơn hàng'!$D:$D,$A15,'4.Đơn hàng'!$H:$H)</f>
        <v>46986000</v>
      </c>
      <c r="E15" s="129">
        <f>SUMIF('5.Thu tiền'!$D:$D,$A15,'5.Thu tiền'!$H:$H)</f>
        <v>46986000</v>
      </c>
      <c r="F15" s="129">
        <f t="shared" si="2"/>
        <v>0.000000007450580597</v>
      </c>
      <c r="G15" s="99"/>
      <c r="H15" s="99"/>
      <c r="I15" s="99"/>
      <c r="J15" s="125"/>
      <c r="K15" s="125"/>
      <c r="L15" s="125"/>
    </row>
    <row r="16">
      <c r="A16" s="92" t="s">
        <v>74</v>
      </c>
      <c r="B16" s="105" t="s">
        <v>179</v>
      </c>
      <c r="C16" s="127"/>
      <c r="D16" s="127">
        <f>SUMIF('4.Đơn hàng'!$D:$D,$A16,'4.Đơn hàng'!$H:$H)</f>
        <v>46986000</v>
      </c>
      <c r="E16" s="129">
        <f>SUMIF('5.Thu tiền'!$D:$D,$A16,'5.Thu tiền'!$H:$H)</f>
        <v>46986000</v>
      </c>
      <c r="F16" s="129">
        <f t="shared" si="2"/>
        <v>0.000000007450580597</v>
      </c>
      <c r="G16" s="99"/>
      <c r="H16" s="99"/>
      <c r="I16" s="99"/>
      <c r="J16" s="125"/>
      <c r="K16" s="125"/>
      <c r="L16" s="125"/>
    </row>
    <row r="17">
      <c r="A17" s="92" t="s">
        <v>78</v>
      </c>
      <c r="B17" s="105" t="s">
        <v>180</v>
      </c>
      <c r="C17" s="127"/>
      <c r="D17" s="127">
        <f>SUMIF('4.Đơn hàng'!$D:$D,$A17,'4.Đơn hàng'!$H:$H)</f>
        <v>81363391</v>
      </c>
      <c r="E17" s="129">
        <f>SUMIF('5.Thu tiền'!$D:$D,$A17,'5.Thu tiền'!$H:$H)</f>
        <v>81363391</v>
      </c>
      <c r="F17" s="129">
        <f t="shared" si="2"/>
        <v>0</v>
      </c>
      <c r="G17" s="99"/>
      <c r="H17" s="99"/>
      <c r="I17" s="99"/>
      <c r="J17" s="125"/>
      <c r="K17" s="125"/>
      <c r="L17" s="125"/>
    </row>
    <row r="18">
      <c r="A18" s="92" t="s">
        <v>81</v>
      </c>
      <c r="B18" s="105" t="s">
        <v>181</v>
      </c>
      <c r="C18" s="127"/>
      <c r="D18" s="127">
        <f>SUMIF('4.Đơn hàng'!$D:$D,$A18,'4.Đơn hàng'!$H:$H)</f>
        <v>81363391</v>
      </c>
      <c r="E18" s="129">
        <f>SUMIF('5.Thu tiền'!$D:$D,$A18,'5.Thu tiền'!$H:$H)</f>
        <v>81363391</v>
      </c>
      <c r="F18" s="129">
        <f t="shared" si="2"/>
        <v>0</v>
      </c>
      <c r="G18" s="99"/>
      <c r="H18" s="99"/>
      <c r="I18" s="99"/>
      <c r="J18" s="125"/>
      <c r="K18" s="125"/>
      <c r="L18" s="125"/>
    </row>
    <row r="19">
      <c r="A19" s="92" t="s">
        <v>83</v>
      </c>
      <c r="B19" s="105" t="s">
        <v>182</v>
      </c>
      <c r="C19" s="127"/>
      <c r="D19" s="127">
        <f>SUMIF('4.Đơn hàng'!$D:$D,$A19,'4.Đơn hàng'!$H:$H)</f>
        <v>1774801</v>
      </c>
      <c r="E19" s="129">
        <f>SUMIF('5.Thu tiền'!$D:$D,$A19,'5.Thu tiền'!$H:$H)</f>
        <v>1774801</v>
      </c>
      <c r="F19" s="129">
        <f t="shared" si="2"/>
        <v>0</v>
      </c>
      <c r="G19" s="99"/>
      <c r="H19" s="99"/>
      <c r="I19" s="99"/>
      <c r="J19" s="125"/>
      <c r="K19" s="125"/>
      <c r="L19" s="125"/>
    </row>
    <row r="20">
      <c r="A20" s="92" t="s">
        <v>88</v>
      </c>
      <c r="B20" s="62" t="s">
        <v>184</v>
      </c>
      <c r="C20" s="127"/>
      <c r="D20" s="127">
        <f>SUMIF('4.Đơn hàng'!$D:$D,$A20,'4.Đơn hàng'!$H:$H)</f>
        <v>1972000</v>
      </c>
      <c r="E20" s="129">
        <f>SUMIF('5.Thu tiền'!$D:$D,$A20,'5.Thu tiền'!$H:$H)</f>
        <v>1972000</v>
      </c>
      <c r="F20" s="129">
        <f t="shared" si="2"/>
        <v>0</v>
      </c>
      <c r="G20" s="99"/>
      <c r="H20" s="92" t="s">
        <v>186</v>
      </c>
      <c r="I20" s="92" t="s">
        <v>187</v>
      </c>
      <c r="J20" s="125"/>
      <c r="K20" s="125"/>
      <c r="L20" s="125"/>
    </row>
    <row r="21">
      <c r="A21" s="92" t="s">
        <v>93</v>
      </c>
      <c r="B21" s="105" t="s">
        <v>190</v>
      </c>
      <c r="C21" s="127"/>
      <c r="D21" s="127">
        <f>SUMIF('4.Đơn hàng'!$D:$D,$A21,'4.Đơn hàng'!$H:$H)</f>
        <v>1972000</v>
      </c>
      <c r="E21" s="129">
        <f>SUMIF('5.Thu tiền'!$D:$D,$A21,'5.Thu tiền'!$H:$H)</f>
        <v>1972000</v>
      </c>
      <c r="F21" s="129">
        <f t="shared" si="2"/>
        <v>0</v>
      </c>
      <c r="G21" s="99"/>
      <c r="H21" s="99"/>
      <c r="I21" s="99"/>
      <c r="J21" s="125"/>
      <c r="K21" s="125"/>
      <c r="L21" s="125"/>
    </row>
    <row r="22">
      <c r="A22" s="92" t="s">
        <v>97</v>
      </c>
      <c r="B22" s="105" t="s">
        <v>191</v>
      </c>
      <c r="C22" s="127"/>
      <c r="D22" s="127">
        <f>SUMIF('4.Đơn hàng'!$D:$D,$A22,'4.Đơn hàng'!$H:$H)</f>
        <v>214719000</v>
      </c>
      <c r="E22" s="129">
        <f>SUMIF('5.Thu tiền'!$D:$D,$A22,'5.Thu tiền'!$H:$H)</f>
        <v>214719000</v>
      </c>
      <c r="F22" s="129">
        <f t="shared" si="2"/>
        <v>0</v>
      </c>
      <c r="G22" s="99"/>
      <c r="H22" s="99"/>
      <c r="I22" s="99"/>
      <c r="J22" s="125"/>
      <c r="K22" s="125"/>
      <c r="L22" s="125"/>
    </row>
    <row r="23">
      <c r="A23" s="92" t="s">
        <v>183</v>
      </c>
      <c r="B23" s="105" t="s">
        <v>193</v>
      </c>
      <c r="C23" s="127"/>
      <c r="D23" s="127">
        <f>SUMIF('4.Đơn hàng'!$D:$D,$A23,'4.Đơn hàng'!$H:$H)</f>
        <v>597000</v>
      </c>
      <c r="E23" s="129">
        <f>SUMIF('5.Thu tiền'!$D:$D,$A23,'5.Thu tiền'!$H:$H)</f>
        <v>597000</v>
      </c>
      <c r="F23" s="129">
        <f t="shared" si="2"/>
        <v>0</v>
      </c>
      <c r="G23" s="99"/>
      <c r="H23" s="99"/>
      <c r="I23" s="99"/>
      <c r="J23" s="125"/>
      <c r="K23" s="125"/>
      <c r="L23" s="125"/>
    </row>
    <row r="24">
      <c r="A24" s="92" t="s">
        <v>101</v>
      </c>
      <c r="B24" s="107" t="s">
        <v>194</v>
      </c>
      <c r="C24" s="127"/>
      <c r="D24" s="127">
        <f>SUMIF('4.Đơn hàng'!$D:$D,$A24,'4.Đơn hàng'!$H:$H)</f>
        <v>175806000</v>
      </c>
      <c r="E24" s="129">
        <f>SUMIF('5.Thu tiền'!$D:$D,$A24,'5.Thu tiền'!$H:$H)</f>
        <v>180806000</v>
      </c>
      <c r="F24" s="129">
        <f t="shared" si="2"/>
        <v>-5000000</v>
      </c>
      <c r="G24" s="99"/>
      <c r="H24" s="99"/>
      <c r="I24" s="99"/>
      <c r="J24" s="125"/>
      <c r="K24" s="125"/>
      <c r="L24" s="125"/>
    </row>
    <row r="25">
      <c r="A25" s="92" t="s">
        <v>106</v>
      </c>
      <c r="B25" s="105" t="s">
        <v>195</v>
      </c>
      <c r="C25" s="165"/>
      <c r="D25" s="127">
        <f>SUMIF('4.Đơn hàng'!$D:$D,$A25,'4.Đơn hàng'!$H:$H)</f>
        <v>233043000</v>
      </c>
      <c r="E25" s="129">
        <f>SUMIF('5.Thu tiền'!$D:$D,$A25,'5.Thu tiền'!$H:$H)</f>
        <v>233043000</v>
      </c>
      <c r="F25" s="129">
        <f t="shared" si="2"/>
        <v>0</v>
      </c>
      <c r="G25" s="99"/>
      <c r="H25" s="92" t="s">
        <v>197</v>
      </c>
      <c r="I25" s="99"/>
      <c r="J25" s="125"/>
      <c r="K25" s="125"/>
      <c r="L25" s="125"/>
    </row>
    <row r="26">
      <c r="A26" s="92" t="s">
        <v>127</v>
      </c>
      <c r="B26" s="105" t="s">
        <v>198</v>
      </c>
      <c r="C26" s="127"/>
      <c r="D26" s="127">
        <f>SUMIF('4.Đơn hàng'!$D:$D,$A26,'4.Đơn hàng'!$H:$H)</f>
        <v>114449760</v>
      </c>
      <c r="E26" s="129">
        <f>SUMIF('5.Thu tiền'!$D:$D,$A26,'5.Thu tiền'!$H:$H)</f>
        <v>87730800</v>
      </c>
      <c r="F26" s="129">
        <f t="shared" si="2"/>
        <v>26718960</v>
      </c>
      <c r="G26" s="99"/>
      <c r="H26" s="92" t="s">
        <v>199</v>
      </c>
      <c r="I26" s="99"/>
      <c r="J26" s="125"/>
      <c r="K26" s="125"/>
      <c r="L26" s="125"/>
    </row>
    <row r="27">
      <c r="A27" s="92" t="s">
        <v>122</v>
      </c>
      <c r="B27" s="62" t="s">
        <v>200</v>
      </c>
      <c r="C27" s="127"/>
      <c r="D27" s="127">
        <f>SUMIF('4.Đơn hàng'!$D:$D,$A27,'4.Đơn hàng'!$H:$H)</f>
        <v>49664880</v>
      </c>
      <c r="E27" s="129">
        <f>SUMIF('5.Thu tiền'!$D:$D,$A27,'5.Thu tiền'!$H:$H)</f>
        <v>19972440</v>
      </c>
      <c r="F27" s="129">
        <f t="shared" si="2"/>
        <v>29692440</v>
      </c>
      <c r="G27" s="99"/>
      <c r="H27" s="99"/>
      <c r="I27" s="99"/>
      <c r="J27" s="125"/>
      <c r="K27" s="125"/>
      <c r="L27" s="125"/>
    </row>
    <row r="28">
      <c r="A28" s="92" t="s">
        <v>201</v>
      </c>
      <c r="B28" s="107" t="s">
        <v>203</v>
      </c>
      <c r="C28" s="127"/>
      <c r="D28" s="127">
        <f>SUMIF('4.Đơn hàng'!$D:$D,$A28,'4.Đơn hàng'!$H:$H)</f>
        <v>0</v>
      </c>
      <c r="E28" s="129">
        <f>SUMIF('5.Thu tiền'!$D:$D,$A28,'5.Thu tiền'!$H:$H)</f>
        <v>0</v>
      </c>
      <c r="F28" s="129">
        <f t="shared" si="2"/>
        <v>0</v>
      </c>
      <c r="G28" s="99"/>
      <c r="H28" s="99"/>
      <c r="I28" s="99"/>
      <c r="J28" s="125"/>
      <c r="K28" s="125"/>
      <c r="L28" s="125"/>
    </row>
    <row r="29">
      <c r="A29" s="92" t="s">
        <v>128</v>
      </c>
      <c r="B29" s="62" t="s">
        <v>205</v>
      </c>
      <c r="C29" s="127"/>
      <c r="D29" s="127">
        <f>SUMIF('4.Đơn hàng'!$D:$D,$A29,'4.Đơn hàng'!$H:$H)</f>
        <v>114449760</v>
      </c>
      <c r="E29" s="129">
        <f>SUMIF('5.Thu tiền'!$D:$D,$A29,'5.Thu tiền'!$H:$H)</f>
        <v>58287400</v>
      </c>
      <c r="F29" s="129">
        <f t="shared" si="2"/>
        <v>56162360</v>
      </c>
      <c r="G29" s="99"/>
      <c r="H29" s="99"/>
      <c r="I29" s="99"/>
      <c r="J29" s="125"/>
      <c r="K29" s="125"/>
      <c r="L29" s="125"/>
    </row>
    <row r="30">
      <c r="A30" s="92" t="s">
        <v>118</v>
      </c>
      <c r="B30" s="107" t="s">
        <v>207</v>
      </c>
      <c r="C30" s="127"/>
      <c r="D30" s="127">
        <f>SUMIF('4.Đơn hàng'!$D:$D,$A30,'4.Đơn hàng'!$H:$H)</f>
        <v>49664880</v>
      </c>
      <c r="E30" s="129">
        <f>SUMIF('5.Thu tiền'!$D:$D,$A30,'5.Thu tiền'!$H:$H)</f>
        <v>37894392</v>
      </c>
      <c r="F30" s="129">
        <f t="shared" si="2"/>
        <v>11770488</v>
      </c>
      <c r="G30" s="99"/>
      <c r="H30" s="99"/>
      <c r="I30" s="99"/>
      <c r="J30" s="125"/>
      <c r="K30" s="125"/>
      <c r="L30" s="125"/>
    </row>
    <row r="31">
      <c r="A31" s="92" t="s">
        <v>113</v>
      </c>
      <c r="B31" s="107" t="s">
        <v>203</v>
      </c>
      <c r="C31" s="127"/>
      <c r="D31" s="127">
        <f>SUMIF('4.Đơn hàng'!$D:$D,$A31,'4.Đơn hàng'!$H:$H)</f>
        <v>93733000</v>
      </c>
      <c r="E31" s="129">
        <f>SUMIF('5.Thu tiền'!$D:$D,$A31,'5.Thu tiền'!$H:$H)</f>
        <v>10000000</v>
      </c>
      <c r="F31" s="129">
        <f t="shared" si="2"/>
        <v>83733000</v>
      </c>
      <c r="G31" s="99"/>
      <c r="H31" s="99"/>
      <c r="I31" s="99"/>
      <c r="J31" s="125"/>
      <c r="K31" s="125"/>
      <c r="L31" s="125"/>
    </row>
    <row r="32">
      <c r="A32" s="92" t="s">
        <v>202</v>
      </c>
      <c r="B32" s="107" t="s">
        <v>209</v>
      </c>
      <c r="C32" s="127"/>
      <c r="D32" s="127">
        <f>SUMIF('4.Đơn hàng'!$D:$D,$A32,'4.Đơn hàng'!$H:$H)</f>
        <v>49664880</v>
      </c>
      <c r="E32" s="129">
        <f>SUMIF('5.Thu tiền'!$D:$D,$A32,'5.Thu tiền'!$H:$H)</f>
        <v>42105000</v>
      </c>
      <c r="F32" s="129">
        <f t="shared" si="2"/>
        <v>7559880</v>
      </c>
      <c r="G32" s="99"/>
      <c r="H32" s="99"/>
      <c r="I32" s="99"/>
      <c r="J32" s="125"/>
      <c r="K32" s="125"/>
      <c r="L32" s="125"/>
    </row>
    <row r="33">
      <c r="A33" s="92" t="s">
        <v>206</v>
      </c>
      <c r="B33" s="107" t="s">
        <v>211</v>
      </c>
      <c r="C33" s="127"/>
      <c r="D33" s="127">
        <f>SUMIF('4.Đơn hàng'!$D:$D,$A33,'4.Đơn hàng'!$H:$H)</f>
        <v>49664880</v>
      </c>
      <c r="E33" s="129">
        <f>SUMIF('5.Thu tiền'!$D:$D,$A33,'5.Thu tiền'!$H:$H)</f>
        <v>33287400</v>
      </c>
      <c r="F33" s="129">
        <f t="shared" si="2"/>
        <v>16377480</v>
      </c>
      <c r="G33" s="99"/>
      <c r="H33" s="99"/>
      <c r="I33" s="99"/>
      <c r="J33" s="125"/>
      <c r="K33" s="125"/>
      <c r="L33" s="125"/>
    </row>
    <row r="34">
      <c r="A34" s="92" t="s">
        <v>212</v>
      </c>
      <c r="B34" s="166"/>
      <c r="C34" s="127"/>
      <c r="D34" s="127">
        <f>SUMIF('4.Đơn hàng'!$D:$D,$A34,'4.Đơn hàng'!$H:$H)</f>
        <v>0</v>
      </c>
      <c r="E34" s="129">
        <f>SUMIF('5.Thu tiền'!$D:$D,$A34,'5.Thu tiền'!$H:$H)</f>
        <v>0</v>
      </c>
      <c r="F34" s="129">
        <f t="shared" si="2"/>
        <v>0</v>
      </c>
      <c r="G34" s="99"/>
      <c r="H34" s="99"/>
      <c r="I34" s="99"/>
      <c r="J34" s="125"/>
      <c r="K34" s="125"/>
      <c r="L34" s="125"/>
    </row>
    <row r="35">
      <c r="A35" s="92" t="s">
        <v>216</v>
      </c>
      <c r="B35" s="166"/>
      <c r="C35" s="127"/>
      <c r="D35" s="127">
        <f>SUMIF('4.Đơn hàng'!$D:$D,$A35,'4.Đơn hàng'!$H:$H)</f>
        <v>0</v>
      </c>
      <c r="E35" s="129">
        <f>SUMIF('5.Thu tiền'!$D:$D,$A35,'5.Thu tiền'!$H:$H)</f>
        <v>0</v>
      </c>
      <c r="F35" s="129">
        <f t="shared" si="2"/>
        <v>0</v>
      </c>
      <c r="G35" s="99"/>
      <c r="H35" s="99"/>
      <c r="I35" s="99"/>
      <c r="J35" s="125"/>
      <c r="K35" s="125"/>
      <c r="L35" s="125"/>
    </row>
    <row r="36">
      <c r="A36" s="92" t="s">
        <v>217</v>
      </c>
      <c r="B36" s="166"/>
      <c r="C36" s="127"/>
      <c r="D36" s="127">
        <f>SUMIF('4.Đơn hàng'!$D:$D,$A36,'4.Đơn hàng'!$H:$H)</f>
        <v>0</v>
      </c>
      <c r="E36" s="129">
        <f>SUMIF('5.Thu tiền'!$D:$D,$A36,'5.Thu tiền'!$H:$H)</f>
        <v>0</v>
      </c>
      <c r="F36" s="129">
        <f t="shared" si="2"/>
        <v>0</v>
      </c>
      <c r="G36" s="99"/>
      <c r="H36" s="99"/>
      <c r="I36" s="99"/>
      <c r="J36" s="125"/>
      <c r="K36" s="125"/>
      <c r="L36" s="125"/>
    </row>
    <row r="37">
      <c r="A37" s="92" t="s">
        <v>220</v>
      </c>
      <c r="B37" s="166"/>
      <c r="C37" s="127"/>
      <c r="D37" s="127">
        <f>SUMIF('4.Đơn hàng'!$D:$D,$A37,'4.Đơn hàng'!$H:$H)</f>
        <v>0</v>
      </c>
      <c r="E37" s="129">
        <f>SUMIF('5.Thu tiền'!$D:$D,$A37,'5.Thu tiền'!$H:$H)</f>
        <v>0</v>
      </c>
      <c r="F37" s="129">
        <f t="shared" si="2"/>
        <v>0</v>
      </c>
      <c r="G37" s="99"/>
      <c r="H37" s="99"/>
      <c r="I37" s="99"/>
      <c r="J37" s="125"/>
      <c r="K37" s="125"/>
      <c r="L37" s="125"/>
    </row>
    <row r="38">
      <c r="A38" s="92" t="s">
        <v>222</v>
      </c>
      <c r="B38" s="166"/>
      <c r="C38" s="127"/>
      <c r="D38" s="127">
        <f>SUMIF('4.Đơn hàng'!$D:$D,$A38,'4.Đơn hàng'!$H:$H)</f>
        <v>0</v>
      </c>
      <c r="E38" s="129">
        <f>SUMIF('5.Thu tiền'!$D:$D,$A38,'5.Thu tiền'!$H:$H)</f>
        <v>0</v>
      </c>
      <c r="F38" s="129">
        <f t="shared" si="2"/>
        <v>0</v>
      </c>
      <c r="G38" s="99"/>
      <c r="H38" s="99"/>
      <c r="I38" s="99"/>
      <c r="J38" s="125"/>
      <c r="K38" s="125"/>
      <c r="L38" s="125"/>
    </row>
    <row r="39">
      <c r="A39" s="92" t="s">
        <v>223</v>
      </c>
      <c r="B39" s="166"/>
      <c r="C39" s="127"/>
      <c r="D39" s="127">
        <f>SUMIF('4.Đơn hàng'!$D:$D,$A39,'4.Đơn hàng'!$H:$H)</f>
        <v>0</v>
      </c>
      <c r="E39" s="129">
        <f>SUMIF('5.Thu tiền'!$D:$D,$A39,'5.Thu tiền'!$H:$H)</f>
        <v>0</v>
      </c>
      <c r="F39" s="129">
        <f t="shared" si="2"/>
        <v>0</v>
      </c>
      <c r="G39" s="99"/>
      <c r="H39" s="99"/>
      <c r="I39" s="99"/>
      <c r="J39" s="125"/>
      <c r="K39" s="125"/>
      <c r="L39" s="125"/>
    </row>
    <row r="40">
      <c r="A40" s="92" t="s">
        <v>226</v>
      </c>
      <c r="B40" s="166"/>
      <c r="C40" s="127"/>
      <c r="D40" s="127">
        <f>SUMIF('4.Đơn hàng'!$D:$D,$A40,'4.Đơn hàng'!$H:$H)</f>
        <v>0</v>
      </c>
      <c r="E40" s="129">
        <f>SUMIF('5.Thu tiền'!$D:$D,$A40,'5.Thu tiền'!$H:$H)</f>
        <v>0</v>
      </c>
      <c r="F40" s="129">
        <f t="shared" si="2"/>
        <v>0</v>
      </c>
      <c r="G40" s="99"/>
      <c r="H40" s="99"/>
      <c r="I40" s="99"/>
      <c r="J40" s="125"/>
      <c r="K40" s="125"/>
      <c r="L40" s="125"/>
    </row>
    <row r="41">
      <c r="A41" s="92" t="s">
        <v>227</v>
      </c>
      <c r="B41" s="166"/>
      <c r="C41" s="127"/>
      <c r="D41" s="127">
        <f>SUMIF('4.Đơn hàng'!$D:$D,$A41,'4.Đơn hàng'!$H:$H)</f>
        <v>0</v>
      </c>
      <c r="E41" s="129">
        <f>SUMIF('5.Thu tiền'!$D:$D,$A41,'5.Thu tiền'!$H:$H)</f>
        <v>0</v>
      </c>
      <c r="F41" s="129">
        <f t="shared" si="2"/>
        <v>0</v>
      </c>
      <c r="G41" s="99"/>
      <c r="H41" s="99"/>
      <c r="I41" s="99"/>
      <c r="J41" s="125"/>
      <c r="K41" s="125"/>
      <c r="L41" s="125"/>
    </row>
    <row r="42">
      <c r="A42" s="92" t="s">
        <v>229</v>
      </c>
      <c r="B42" s="166"/>
      <c r="C42" s="127"/>
      <c r="D42" s="127">
        <f>SUMIF('4.Đơn hàng'!$D:$D,$A42,'4.Đơn hàng'!$H:$H)</f>
        <v>0</v>
      </c>
      <c r="E42" s="129">
        <f>SUMIF('5.Thu tiền'!$D:$D,$A42,'5.Thu tiền'!$H:$H)</f>
        <v>0</v>
      </c>
      <c r="F42" s="129">
        <f t="shared" si="2"/>
        <v>0</v>
      </c>
      <c r="G42" s="99"/>
      <c r="H42" s="99"/>
      <c r="I42" s="99"/>
      <c r="J42" s="125"/>
      <c r="K42" s="125"/>
      <c r="L42" s="125"/>
    </row>
    <row r="43">
      <c r="A43" s="92" t="s">
        <v>230</v>
      </c>
      <c r="B43" s="166"/>
      <c r="C43" s="127"/>
      <c r="D43" s="127">
        <f>SUMIF('4.Đơn hàng'!$D:$D,$A43,'4.Đơn hàng'!$H:$H)</f>
        <v>0</v>
      </c>
      <c r="E43" s="129">
        <f>SUMIF('5.Thu tiền'!$D:$D,$A43,'5.Thu tiền'!$H:$H)</f>
        <v>0</v>
      </c>
      <c r="F43" s="129">
        <f t="shared" si="2"/>
        <v>0</v>
      </c>
      <c r="G43" s="99"/>
      <c r="H43" s="99"/>
      <c r="I43" s="99"/>
      <c r="J43" s="125"/>
      <c r="K43" s="125"/>
      <c r="L43" s="125"/>
    </row>
    <row r="44">
      <c r="A44" s="92" t="s">
        <v>231</v>
      </c>
      <c r="B44" s="166"/>
      <c r="C44" s="127"/>
      <c r="D44" s="127">
        <f>SUMIF('4.Đơn hàng'!$D:$D,$A44,'4.Đơn hàng'!$H:$H)</f>
        <v>0</v>
      </c>
      <c r="E44" s="129">
        <f>SUMIF('5.Thu tiền'!$D:$D,$A44,'5.Thu tiền'!$H:$H)</f>
        <v>0</v>
      </c>
      <c r="F44" s="129">
        <f t="shared" si="2"/>
        <v>0</v>
      </c>
      <c r="G44" s="99"/>
      <c r="H44" s="99"/>
      <c r="I44" s="99"/>
      <c r="J44" s="125"/>
      <c r="K44" s="125"/>
      <c r="L44" s="125"/>
    </row>
    <row r="45">
      <c r="A45" s="92" t="s">
        <v>233</v>
      </c>
      <c r="B45" s="166"/>
      <c r="C45" s="127"/>
      <c r="D45" s="127">
        <f>SUMIF('4.Đơn hàng'!$D:$D,$A45,'4.Đơn hàng'!$H:$H)</f>
        <v>0</v>
      </c>
      <c r="E45" s="129">
        <f>SUMIF('5.Thu tiền'!$D:$D,$A45,'5.Thu tiền'!$H:$H)</f>
        <v>0</v>
      </c>
      <c r="F45" s="129">
        <f t="shared" si="2"/>
        <v>0</v>
      </c>
      <c r="G45" s="99"/>
      <c r="H45" s="99"/>
      <c r="I45" s="99"/>
      <c r="J45" s="125"/>
      <c r="K45" s="125"/>
      <c r="L45" s="125"/>
    </row>
    <row r="46">
      <c r="A46" s="92" t="s">
        <v>235</v>
      </c>
      <c r="B46" s="166"/>
      <c r="C46" s="127"/>
      <c r="D46" s="127">
        <f>SUMIF('4.Đơn hàng'!$D:$D,$A46,'4.Đơn hàng'!$H:$H)</f>
        <v>0</v>
      </c>
      <c r="E46" s="129">
        <f>SUMIF('5.Thu tiền'!$D:$D,$A46,'5.Thu tiền'!$H:$H)</f>
        <v>0</v>
      </c>
      <c r="F46" s="129">
        <f t="shared" si="2"/>
        <v>0</v>
      </c>
      <c r="G46" s="99"/>
      <c r="H46" s="99"/>
      <c r="I46" s="99"/>
      <c r="J46" s="125"/>
      <c r="K46" s="125"/>
      <c r="L46" s="125"/>
    </row>
    <row r="47">
      <c r="A47" s="92" t="s">
        <v>241</v>
      </c>
      <c r="B47" s="166"/>
      <c r="C47" s="127"/>
      <c r="D47" s="127">
        <f>SUMIF('4.Đơn hàng'!$D:$D,$A47,'4.Đơn hàng'!$H:$H)</f>
        <v>0</v>
      </c>
      <c r="E47" s="129">
        <f>SUMIF('5.Thu tiền'!$D:$D,$A47,'5.Thu tiền'!$H:$H)</f>
        <v>0</v>
      </c>
      <c r="F47" s="129">
        <f t="shared" si="2"/>
        <v>0</v>
      </c>
      <c r="G47" s="99"/>
      <c r="H47" s="99"/>
      <c r="I47" s="99"/>
      <c r="J47" s="125"/>
      <c r="K47" s="125"/>
      <c r="L47" s="125"/>
    </row>
    <row r="48">
      <c r="A48" s="92" t="s">
        <v>245</v>
      </c>
      <c r="B48" s="166"/>
      <c r="C48" s="127"/>
      <c r="D48" s="127">
        <f>SUMIF('4.Đơn hàng'!$D:$D,$A48,'4.Đơn hàng'!$H:$H)</f>
        <v>0</v>
      </c>
      <c r="E48" s="129">
        <f>SUMIF('5.Thu tiền'!$D:$D,$A48,'5.Thu tiền'!$H:$H)</f>
        <v>0</v>
      </c>
      <c r="F48" s="129">
        <f t="shared" si="2"/>
        <v>0</v>
      </c>
      <c r="G48" s="99"/>
      <c r="H48" s="99"/>
      <c r="I48" s="99"/>
      <c r="J48" s="125"/>
      <c r="K48" s="125"/>
      <c r="L48" s="125"/>
    </row>
    <row r="49">
      <c r="A49" s="92" t="s">
        <v>248</v>
      </c>
      <c r="B49" s="166"/>
      <c r="C49" s="127"/>
      <c r="D49" s="127">
        <f>SUMIF('4.Đơn hàng'!$D:$D,$A49,'4.Đơn hàng'!$H:$H)</f>
        <v>0</v>
      </c>
      <c r="E49" s="129">
        <f>SUMIF('5.Thu tiền'!$D:$D,$A49,'5.Thu tiền'!$H:$H)</f>
        <v>0</v>
      </c>
      <c r="F49" s="129">
        <f t="shared" si="2"/>
        <v>0</v>
      </c>
      <c r="G49" s="99"/>
      <c r="H49" s="99"/>
      <c r="I49" s="99"/>
      <c r="J49" s="125"/>
      <c r="K49" s="125"/>
      <c r="L49" s="125"/>
    </row>
    <row r="50">
      <c r="A50" s="92" t="s">
        <v>251</v>
      </c>
      <c r="B50" s="166"/>
      <c r="C50" s="127"/>
      <c r="D50" s="127">
        <f>SUMIF('4.Đơn hàng'!$D:$D,$A50,'4.Đơn hàng'!$H:$H)</f>
        <v>0</v>
      </c>
      <c r="E50" s="129">
        <f>SUMIF('5.Thu tiền'!$D:$D,$A50,'5.Thu tiền'!$H:$H)</f>
        <v>0</v>
      </c>
      <c r="F50" s="129">
        <f t="shared" si="2"/>
        <v>0</v>
      </c>
      <c r="G50" s="99"/>
      <c r="H50" s="99"/>
      <c r="I50" s="99"/>
      <c r="J50" s="125"/>
      <c r="K50" s="125"/>
      <c r="L50" s="125"/>
    </row>
    <row r="51">
      <c r="A51" s="92" t="s">
        <v>255</v>
      </c>
      <c r="B51" s="166"/>
      <c r="C51" s="127"/>
      <c r="D51" s="127">
        <f>SUMIF('4.Đơn hàng'!$D:$D,$A51,'4.Đơn hàng'!$H:$H)</f>
        <v>0</v>
      </c>
      <c r="E51" s="129">
        <f>SUMIF('5.Thu tiền'!$D:$D,$A51,'5.Thu tiền'!$H:$H)</f>
        <v>0</v>
      </c>
      <c r="F51" s="129">
        <f t="shared" si="2"/>
        <v>0</v>
      </c>
      <c r="G51" s="99"/>
      <c r="H51" s="99"/>
      <c r="I51" s="99"/>
      <c r="J51" s="125"/>
      <c r="K51" s="125"/>
      <c r="L51" s="125"/>
    </row>
    <row r="52">
      <c r="A52" s="92" t="s">
        <v>258</v>
      </c>
      <c r="B52" s="166"/>
      <c r="C52" s="127"/>
      <c r="D52" s="127">
        <f>SUMIF('4.Đơn hàng'!$D:$D,$A52,'4.Đơn hàng'!$H:$H)</f>
        <v>0</v>
      </c>
      <c r="E52" s="129">
        <f>SUMIF('5.Thu tiền'!$D:$D,$A52,'5.Thu tiền'!$H:$H)</f>
        <v>0</v>
      </c>
      <c r="F52" s="129">
        <f t="shared" si="2"/>
        <v>0</v>
      </c>
      <c r="G52" s="99"/>
      <c r="H52" s="99"/>
      <c r="I52" s="99"/>
      <c r="J52" s="125"/>
      <c r="K52" s="125"/>
      <c r="L52" s="125"/>
    </row>
    <row r="53">
      <c r="A53" s="92" t="s">
        <v>262</v>
      </c>
      <c r="B53" s="166"/>
      <c r="C53" s="127"/>
      <c r="D53" s="127">
        <f>SUMIF('4.Đơn hàng'!$D:$D,$A53,'4.Đơn hàng'!$H:$H)</f>
        <v>0</v>
      </c>
      <c r="E53" s="129">
        <f>SUMIF('5.Thu tiền'!$D:$D,$A53,'5.Thu tiền'!$H:$H)</f>
        <v>0</v>
      </c>
      <c r="F53" s="129">
        <f t="shared" si="2"/>
        <v>0</v>
      </c>
      <c r="G53" s="99"/>
      <c r="H53" s="99"/>
      <c r="I53" s="99"/>
      <c r="J53" s="125"/>
      <c r="K53" s="125"/>
      <c r="L53" s="125"/>
    </row>
    <row r="54">
      <c r="A54" s="92" t="s">
        <v>268</v>
      </c>
      <c r="B54" s="166"/>
      <c r="C54" s="127"/>
      <c r="D54" s="127">
        <f>SUMIF('4.Đơn hàng'!$D:$D,$A54,'4.Đơn hàng'!$H:$H)</f>
        <v>0</v>
      </c>
      <c r="E54" s="129">
        <f>SUMIF('5.Thu tiền'!$D:$D,$A54,'5.Thu tiền'!$H:$H)</f>
        <v>0</v>
      </c>
      <c r="F54" s="129">
        <f t="shared" si="2"/>
        <v>0</v>
      </c>
      <c r="G54" s="99"/>
      <c r="H54" s="99"/>
      <c r="I54" s="99"/>
      <c r="J54" s="125"/>
      <c r="K54" s="125"/>
      <c r="L54" s="125"/>
    </row>
    <row r="55">
      <c r="A55" s="92" t="s">
        <v>271</v>
      </c>
      <c r="B55" s="166"/>
      <c r="C55" s="127"/>
      <c r="D55" s="127">
        <f>SUMIF('4.Đơn hàng'!$D:$D,$A55,'4.Đơn hàng'!$H:$H)</f>
        <v>0</v>
      </c>
      <c r="E55" s="129">
        <f>SUMIF('5.Thu tiền'!$D:$D,$A55,'5.Thu tiền'!$H:$H)</f>
        <v>0</v>
      </c>
      <c r="F55" s="129">
        <f t="shared" si="2"/>
        <v>0</v>
      </c>
      <c r="G55" s="99"/>
      <c r="H55" s="99"/>
      <c r="I55" s="99"/>
      <c r="J55" s="125"/>
      <c r="K55" s="125"/>
      <c r="L55" s="125"/>
    </row>
    <row r="56">
      <c r="A56" s="92" t="s">
        <v>277</v>
      </c>
      <c r="B56" s="166"/>
      <c r="C56" s="127"/>
      <c r="D56" s="127">
        <f>SUMIF('4.Đơn hàng'!$D:$D,$A56,'4.Đơn hàng'!$H:$H)</f>
        <v>0</v>
      </c>
      <c r="E56" s="129">
        <f>SUMIF('5.Thu tiền'!$D:$D,$A56,'5.Thu tiền'!$H:$H)</f>
        <v>0</v>
      </c>
      <c r="F56" s="129">
        <f t="shared" si="2"/>
        <v>0</v>
      </c>
      <c r="G56" s="99"/>
      <c r="H56" s="99"/>
      <c r="I56" s="99"/>
      <c r="J56" s="125"/>
      <c r="K56" s="125"/>
      <c r="L56" s="125"/>
    </row>
    <row r="57">
      <c r="A57" s="92" t="s">
        <v>283</v>
      </c>
      <c r="B57" s="166"/>
      <c r="C57" s="127"/>
      <c r="D57" s="127">
        <f>SUMIF('4.Đơn hàng'!$D:$D,$A57,'4.Đơn hàng'!$H:$H)</f>
        <v>0</v>
      </c>
      <c r="E57" s="129">
        <f>SUMIF('5.Thu tiền'!$D:$D,$A57,'5.Thu tiền'!$H:$H)</f>
        <v>0</v>
      </c>
      <c r="F57" s="129">
        <f t="shared" si="2"/>
        <v>0</v>
      </c>
      <c r="G57" s="99"/>
      <c r="H57" s="99"/>
      <c r="I57" s="99"/>
      <c r="J57" s="125"/>
      <c r="K57" s="125"/>
      <c r="L57" s="125"/>
    </row>
    <row r="58">
      <c r="A58" s="92" t="s">
        <v>289</v>
      </c>
      <c r="B58" s="166"/>
      <c r="C58" s="127"/>
      <c r="D58" s="127">
        <f>SUMIF('4.Đơn hàng'!$D:$D,$A58,'4.Đơn hàng'!$H:$H)</f>
        <v>0</v>
      </c>
      <c r="E58" s="129">
        <f>SUMIF('5.Thu tiền'!$D:$D,$A58,'5.Thu tiền'!$H:$H)</f>
        <v>0</v>
      </c>
      <c r="F58" s="129">
        <f t="shared" si="2"/>
        <v>0</v>
      </c>
      <c r="G58" s="99"/>
      <c r="H58" s="99"/>
      <c r="I58" s="99"/>
      <c r="J58" s="125"/>
      <c r="K58" s="125"/>
      <c r="L58" s="125"/>
    </row>
    <row r="59">
      <c r="A59" s="92" t="s">
        <v>291</v>
      </c>
      <c r="B59" s="166"/>
      <c r="C59" s="127"/>
      <c r="D59" s="127">
        <f>SUMIF('4.Đơn hàng'!$D:$D,$A59,'4.Đơn hàng'!$H:$H)</f>
        <v>0</v>
      </c>
      <c r="E59" s="129">
        <f>SUMIF('5.Thu tiền'!$D:$D,$A59,'5.Thu tiền'!$H:$H)</f>
        <v>0</v>
      </c>
      <c r="F59" s="129">
        <f t="shared" si="2"/>
        <v>0</v>
      </c>
      <c r="G59" s="99"/>
      <c r="H59" s="99"/>
      <c r="I59" s="99"/>
      <c r="J59" s="125"/>
      <c r="K59" s="125"/>
      <c r="L59" s="125"/>
    </row>
    <row r="60">
      <c r="A60" s="92" t="s">
        <v>292</v>
      </c>
      <c r="B60" s="166"/>
      <c r="C60" s="127"/>
      <c r="D60" s="127">
        <f>SUMIF('4.Đơn hàng'!$D:$D,$A60,'4.Đơn hàng'!$H:$H)</f>
        <v>0</v>
      </c>
      <c r="E60" s="129">
        <f>SUMIF('5.Thu tiền'!$D:$D,$A60,'5.Thu tiền'!$H:$H)</f>
        <v>0</v>
      </c>
      <c r="F60" s="129">
        <f t="shared" si="2"/>
        <v>0</v>
      </c>
      <c r="G60" s="99"/>
      <c r="H60" s="99"/>
      <c r="I60" s="99"/>
      <c r="J60" s="125"/>
      <c r="K60" s="125"/>
      <c r="L60" s="125"/>
    </row>
    <row r="61">
      <c r="A61" s="92" t="s">
        <v>295</v>
      </c>
      <c r="B61" s="166"/>
      <c r="C61" s="127"/>
      <c r="D61" s="127">
        <f>SUMIF('4.Đơn hàng'!$D:$D,$A61,'4.Đơn hàng'!$H:$H)</f>
        <v>0</v>
      </c>
      <c r="E61" s="129">
        <f>SUMIF('5.Thu tiền'!$D:$D,$A61,'5.Thu tiền'!$H:$H)</f>
        <v>0</v>
      </c>
      <c r="F61" s="129">
        <f t="shared" si="2"/>
        <v>0</v>
      </c>
      <c r="G61" s="99"/>
      <c r="H61" s="99"/>
      <c r="I61" s="99"/>
      <c r="J61" s="125"/>
      <c r="K61" s="125"/>
      <c r="L61" s="125"/>
    </row>
    <row r="62">
      <c r="A62" s="92" t="s">
        <v>300</v>
      </c>
      <c r="B62" s="166"/>
      <c r="C62" s="127"/>
      <c r="D62" s="127">
        <f>SUMIF('4.Đơn hàng'!$D:$D,$A62,'4.Đơn hàng'!$H:$H)</f>
        <v>0</v>
      </c>
      <c r="E62" s="129">
        <f>SUMIF('5.Thu tiền'!$D:$D,$A62,'5.Thu tiền'!$H:$H)</f>
        <v>0</v>
      </c>
      <c r="F62" s="129">
        <f t="shared" si="2"/>
        <v>0</v>
      </c>
      <c r="G62" s="99"/>
      <c r="H62" s="99"/>
      <c r="I62" s="99"/>
      <c r="J62" s="125"/>
      <c r="K62" s="125"/>
      <c r="L62" s="125"/>
    </row>
    <row r="63">
      <c r="A63" s="92" t="s">
        <v>307</v>
      </c>
      <c r="B63" s="166"/>
      <c r="C63" s="127"/>
      <c r="D63" s="127">
        <f>SUMIF('4.Đơn hàng'!$D:$D,$A63,'4.Đơn hàng'!$H:$H)</f>
        <v>0</v>
      </c>
      <c r="E63" s="129">
        <f>SUMIF('5.Thu tiền'!$D:$D,$A63,'5.Thu tiền'!$H:$H)</f>
        <v>0</v>
      </c>
      <c r="F63" s="129">
        <f t="shared" si="2"/>
        <v>0</v>
      </c>
      <c r="G63" s="99"/>
      <c r="H63" s="99"/>
      <c r="I63" s="99"/>
      <c r="J63" s="125"/>
      <c r="K63" s="125"/>
      <c r="L63" s="125"/>
    </row>
    <row r="64">
      <c r="A64" s="92" t="s">
        <v>311</v>
      </c>
      <c r="B64" s="166"/>
      <c r="C64" s="127"/>
      <c r="D64" s="127">
        <f>SUMIF('4.Đơn hàng'!$D:$D,$A64,'4.Đơn hàng'!$H:$H)</f>
        <v>0</v>
      </c>
      <c r="E64" s="129">
        <f>SUMIF('5.Thu tiền'!$D:$D,$A64,'5.Thu tiền'!$H:$H)</f>
        <v>0</v>
      </c>
      <c r="F64" s="129">
        <f t="shared" si="2"/>
        <v>0</v>
      </c>
      <c r="G64" s="99"/>
      <c r="H64" s="99"/>
      <c r="I64" s="99"/>
      <c r="J64" s="125"/>
      <c r="K64" s="125"/>
      <c r="L64" s="125"/>
    </row>
    <row r="65">
      <c r="A65" s="92" t="s">
        <v>313</v>
      </c>
      <c r="B65" s="166"/>
      <c r="C65" s="127"/>
      <c r="D65" s="127">
        <f>SUMIF('4.Đơn hàng'!$D:$D,$A65,'4.Đơn hàng'!$H:$H)</f>
        <v>0</v>
      </c>
      <c r="E65" s="129">
        <f>SUMIF('5.Thu tiền'!$D:$D,$A65,'5.Thu tiền'!$H:$H)</f>
        <v>0</v>
      </c>
      <c r="F65" s="129">
        <f t="shared" si="2"/>
        <v>0</v>
      </c>
      <c r="G65" s="99"/>
      <c r="H65" s="99"/>
      <c r="I65" s="99"/>
      <c r="J65" s="125"/>
      <c r="K65" s="125"/>
      <c r="L65" s="125"/>
    </row>
    <row r="66">
      <c r="A66" s="92" t="s">
        <v>317</v>
      </c>
      <c r="B66" s="166"/>
      <c r="C66" s="127"/>
      <c r="D66" s="127">
        <f>SUMIF('4.Đơn hàng'!$D:$D,$A66,'4.Đơn hàng'!$H:$H)</f>
        <v>0</v>
      </c>
      <c r="E66" s="129">
        <f>SUMIF('5.Thu tiền'!$D:$D,$A66,'5.Thu tiền'!$H:$H)</f>
        <v>0</v>
      </c>
      <c r="F66" s="129">
        <f t="shared" si="2"/>
        <v>0</v>
      </c>
      <c r="G66" s="99"/>
      <c r="H66" s="99"/>
      <c r="I66" s="99"/>
      <c r="J66" s="125"/>
      <c r="K66" s="125"/>
      <c r="L66" s="125"/>
    </row>
    <row r="67">
      <c r="A67" s="92" t="s">
        <v>320</v>
      </c>
      <c r="B67" s="166"/>
      <c r="C67" s="127"/>
      <c r="D67" s="127">
        <f>SUMIF('4.Đơn hàng'!$D:$D,$A67,'4.Đơn hàng'!$H:$H)</f>
        <v>0</v>
      </c>
      <c r="E67" s="129">
        <f>SUMIF('5.Thu tiền'!$D:$D,$A67,'5.Thu tiền'!$H:$H)</f>
        <v>0</v>
      </c>
      <c r="F67" s="129">
        <f t="shared" si="2"/>
        <v>0</v>
      </c>
      <c r="G67" s="99"/>
      <c r="H67" s="99"/>
      <c r="I67" s="99"/>
      <c r="J67" s="125"/>
      <c r="K67" s="125"/>
      <c r="L67" s="125"/>
    </row>
    <row r="68">
      <c r="A68" s="92" t="s">
        <v>325</v>
      </c>
      <c r="B68" s="166"/>
      <c r="C68" s="127"/>
      <c r="D68" s="127">
        <f>SUMIF('4.Đơn hàng'!$D:$D,$A68,'4.Đơn hàng'!$H:$H)</f>
        <v>0</v>
      </c>
      <c r="E68" s="129">
        <f>SUMIF('5.Thu tiền'!$D:$D,$A68,'5.Thu tiền'!$H:$H)</f>
        <v>0</v>
      </c>
      <c r="F68" s="129">
        <f t="shared" si="2"/>
        <v>0</v>
      </c>
      <c r="G68" s="99"/>
      <c r="H68" s="99"/>
      <c r="I68" s="99"/>
      <c r="J68" s="125"/>
      <c r="K68" s="125"/>
      <c r="L68" s="125"/>
    </row>
    <row r="69">
      <c r="A69" s="92" t="s">
        <v>332</v>
      </c>
      <c r="B69" s="166"/>
      <c r="C69" s="127"/>
      <c r="D69" s="127">
        <f>SUMIF('4.Đơn hàng'!$D:$D,$A69,'4.Đơn hàng'!$H:$H)</f>
        <v>0</v>
      </c>
      <c r="E69" s="129">
        <f>SUMIF('5.Thu tiền'!$D:$D,$A69,'5.Thu tiền'!$H:$H)</f>
        <v>0</v>
      </c>
      <c r="F69" s="129">
        <f t="shared" si="2"/>
        <v>0</v>
      </c>
      <c r="G69" s="99"/>
      <c r="H69" s="99"/>
      <c r="I69" s="99"/>
      <c r="J69" s="125"/>
      <c r="K69" s="125"/>
      <c r="L69" s="125"/>
    </row>
    <row r="70">
      <c r="A70" s="92" t="s">
        <v>335</v>
      </c>
      <c r="B70" s="166"/>
      <c r="C70" s="127"/>
      <c r="D70" s="127">
        <f>SUMIF('4.Đơn hàng'!$D:$D,$A70,'4.Đơn hàng'!$H:$H)</f>
        <v>0</v>
      </c>
      <c r="E70" s="129">
        <f>SUMIF('5.Thu tiền'!$D:$D,$A70,'5.Thu tiền'!$H:$H)</f>
        <v>0</v>
      </c>
      <c r="F70" s="129">
        <f t="shared" si="2"/>
        <v>0</v>
      </c>
      <c r="G70" s="99"/>
      <c r="H70" s="99"/>
      <c r="I70" s="99"/>
      <c r="J70" s="125"/>
      <c r="K70" s="125"/>
      <c r="L70" s="125"/>
    </row>
    <row r="71">
      <c r="A71" s="92" t="s">
        <v>338</v>
      </c>
      <c r="B71" s="166"/>
      <c r="C71" s="127"/>
      <c r="D71" s="127">
        <f>SUMIF('4.Đơn hàng'!$D:$D,$A71,'4.Đơn hàng'!$H:$H)</f>
        <v>0</v>
      </c>
      <c r="E71" s="129">
        <f>SUMIF('5.Thu tiền'!$D:$D,$A71,'5.Thu tiền'!$H:$H)</f>
        <v>0</v>
      </c>
      <c r="F71" s="129">
        <f t="shared" si="2"/>
        <v>0</v>
      </c>
      <c r="G71" s="99"/>
      <c r="H71" s="99"/>
      <c r="I71" s="99"/>
      <c r="J71" s="125"/>
      <c r="K71" s="125"/>
      <c r="L71" s="125"/>
    </row>
    <row r="72">
      <c r="A72" s="92" t="s">
        <v>342</v>
      </c>
      <c r="B72" s="166"/>
      <c r="C72" s="127"/>
      <c r="D72" s="127">
        <f>SUMIF('4.Đơn hàng'!$D:$D,$A72,'4.Đơn hàng'!$H:$H)</f>
        <v>0</v>
      </c>
      <c r="E72" s="129">
        <f>SUMIF('5.Thu tiền'!$D:$D,$A72,'5.Thu tiền'!$H:$H)</f>
        <v>0</v>
      </c>
      <c r="F72" s="129">
        <f t="shared" si="2"/>
        <v>0</v>
      </c>
      <c r="G72" s="99"/>
      <c r="H72" s="99"/>
      <c r="I72" s="99"/>
      <c r="J72" s="125"/>
      <c r="K72" s="125"/>
      <c r="L72" s="125"/>
    </row>
    <row r="73">
      <c r="A73" s="92" t="s">
        <v>345</v>
      </c>
      <c r="B73" s="166"/>
      <c r="C73" s="127"/>
      <c r="D73" s="127">
        <f>SUMIF('4.Đơn hàng'!$D:$D,$A73,'4.Đơn hàng'!$H:$H)</f>
        <v>0</v>
      </c>
      <c r="E73" s="129">
        <f>SUMIF('5.Thu tiền'!$D:$D,$A73,'5.Thu tiền'!$H:$H)</f>
        <v>0</v>
      </c>
      <c r="F73" s="129">
        <f t="shared" si="2"/>
        <v>0</v>
      </c>
      <c r="G73" s="99"/>
      <c r="H73" s="99"/>
      <c r="I73" s="99"/>
      <c r="J73" s="125"/>
      <c r="K73" s="125"/>
      <c r="L73" s="125"/>
    </row>
    <row r="74">
      <c r="A74" s="92" t="s">
        <v>349</v>
      </c>
      <c r="B74" s="166"/>
      <c r="C74" s="127"/>
      <c r="D74" s="127">
        <f>SUMIF('4.Đơn hàng'!$D:$D,$A74,'4.Đơn hàng'!$H:$H)</f>
        <v>0</v>
      </c>
      <c r="E74" s="129">
        <f>SUMIF('5.Thu tiền'!$D:$D,$A74,'5.Thu tiền'!$H:$H)</f>
        <v>0</v>
      </c>
      <c r="F74" s="129">
        <f t="shared" si="2"/>
        <v>0</v>
      </c>
      <c r="G74" s="99"/>
      <c r="H74" s="99"/>
      <c r="I74" s="99"/>
      <c r="J74" s="125"/>
      <c r="K74" s="125"/>
      <c r="L74" s="125"/>
    </row>
    <row r="75">
      <c r="A75" s="92" t="s">
        <v>354</v>
      </c>
      <c r="B75" s="166"/>
      <c r="C75" s="127"/>
      <c r="D75" s="127">
        <f>SUMIF('4.Đơn hàng'!$D:$D,$A75,'4.Đơn hàng'!$H:$H)</f>
        <v>0</v>
      </c>
      <c r="E75" s="129">
        <f>SUMIF('5.Thu tiền'!$D:$D,$A75,'5.Thu tiền'!$H:$H)</f>
        <v>0</v>
      </c>
      <c r="F75" s="129">
        <f t="shared" si="2"/>
        <v>0</v>
      </c>
      <c r="G75" s="99"/>
      <c r="H75" s="99"/>
      <c r="I75" s="99"/>
      <c r="J75" s="125"/>
      <c r="K75" s="125"/>
      <c r="L75" s="125"/>
    </row>
    <row r="76">
      <c r="A76" s="92" t="s">
        <v>366</v>
      </c>
      <c r="B76" s="166"/>
      <c r="C76" s="127"/>
      <c r="D76" s="127">
        <f>SUMIF('4.Đơn hàng'!$D:$D,$A76,'4.Đơn hàng'!$H:$H)</f>
        <v>0</v>
      </c>
      <c r="E76" s="129">
        <f>SUMIF('5.Thu tiền'!$D:$D,$A76,'5.Thu tiền'!$H:$H)</f>
        <v>0</v>
      </c>
      <c r="F76" s="129">
        <f t="shared" si="2"/>
        <v>0</v>
      </c>
      <c r="G76" s="99"/>
      <c r="H76" s="99"/>
      <c r="I76" s="99"/>
      <c r="J76" s="125"/>
      <c r="K76" s="125"/>
      <c r="L76" s="125"/>
    </row>
    <row r="77">
      <c r="A77" s="92" t="s">
        <v>371</v>
      </c>
      <c r="B77" s="166"/>
      <c r="C77" s="127"/>
      <c r="D77" s="127">
        <f>SUMIF('4.Đơn hàng'!$D:$D,$A77,'4.Đơn hàng'!$H:$H)</f>
        <v>0</v>
      </c>
      <c r="E77" s="129">
        <f>SUMIF('5.Thu tiền'!$D:$D,$A77,'5.Thu tiền'!$H:$H)</f>
        <v>0</v>
      </c>
      <c r="F77" s="129">
        <f t="shared" si="2"/>
        <v>0</v>
      </c>
      <c r="G77" s="99"/>
      <c r="H77" s="99"/>
      <c r="I77" s="99"/>
      <c r="J77" s="125"/>
      <c r="K77" s="125"/>
      <c r="L77" s="125"/>
    </row>
    <row r="78">
      <c r="A78" s="92" t="s">
        <v>375</v>
      </c>
      <c r="B78" s="166"/>
      <c r="C78" s="127"/>
      <c r="D78" s="127">
        <f>SUMIF('4.Đơn hàng'!$D:$D,$A78,'4.Đơn hàng'!$H:$H)</f>
        <v>0</v>
      </c>
      <c r="E78" s="129">
        <f>SUMIF('5.Thu tiền'!$D:$D,$A78,'5.Thu tiền'!$H:$H)</f>
        <v>0</v>
      </c>
      <c r="F78" s="129">
        <f t="shared" si="2"/>
        <v>0</v>
      </c>
      <c r="G78" s="99"/>
      <c r="H78" s="99"/>
      <c r="I78" s="99"/>
      <c r="J78" s="125"/>
      <c r="K78" s="125"/>
      <c r="L78" s="125"/>
    </row>
    <row r="79">
      <c r="A79" s="92" t="s">
        <v>377</v>
      </c>
      <c r="B79" s="166"/>
      <c r="C79" s="127"/>
      <c r="D79" s="127">
        <f>SUMIF('4.Đơn hàng'!$D:$D,$A79,'4.Đơn hàng'!$H:$H)</f>
        <v>0</v>
      </c>
      <c r="E79" s="129">
        <f>SUMIF('5.Thu tiền'!$D:$D,$A79,'5.Thu tiền'!$H:$H)</f>
        <v>0</v>
      </c>
      <c r="F79" s="129">
        <f t="shared" si="2"/>
        <v>0</v>
      </c>
      <c r="G79" s="99"/>
      <c r="H79" s="99"/>
      <c r="I79" s="99"/>
      <c r="J79" s="125"/>
      <c r="K79" s="125"/>
      <c r="L79" s="125"/>
    </row>
    <row r="80">
      <c r="A80" s="92" t="s">
        <v>381</v>
      </c>
      <c r="B80" s="166"/>
      <c r="C80" s="127"/>
      <c r="D80" s="127">
        <f>SUMIF('4.Đơn hàng'!$D:$D,$A80,'4.Đơn hàng'!$H:$H)</f>
        <v>0</v>
      </c>
      <c r="E80" s="129">
        <f>SUMIF('5.Thu tiền'!$D:$D,$A80,'5.Thu tiền'!$H:$H)</f>
        <v>0</v>
      </c>
      <c r="F80" s="129">
        <f t="shared" si="2"/>
        <v>0</v>
      </c>
      <c r="G80" s="99"/>
      <c r="H80" s="99"/>
      <c r="I80" s="99"/>
      <c r="J80" s="125"/>
      <c r="K80" s="125"/>
      <c r="L80" s="125"/>
    </row>
    <row r="81">
      <c r="A81" s="92" t="s">
        <v>384</v>
      </c>
      <c r="B81" s="166"/>
      <c r="C81" s="127"/>
      <c r="D81" s="127">
        <f>SUMIF('4.Đơn hàng'!$D:$D,$A81,'4.Đơn hàng'!$H:$H)</f>
        <v>0</v>
      </c>
      <c r="E81" s="129">
        <f>SUMIF('5.Thu tiền'!$D:$D,$A81,'5.Thu tiền'!$H:$H)</f>
        <v>0</v>
      </c>
      <c r="F81" s="129">
        <f t="shared" si="2"/>
        <v>0</v>
      </c>
      <c r="G81" s="99"/>
      <c r="H81" s="99"/>
      <c r="I81" s="99"/>
      <c r="J81" s="125"/>
      <c r="K81" s="125"/>
      <c r="L81" s="125"/>
    </row>
    <row r="82">
      <c r="A82" s="92" t="s">
        <v>389</v>
      </c>
      <c r="B82" s="166"/>
      <c r="C82" s="127"/>
      <c r="D82" s="127">
        <f>SUMIF('4.Đơn hàng'!$D:$D,$A82,'4.Đơn hàng'!$H:$H)</f>
        <v>0</v>
      </c>
      <c r="E82" s="129">
        <f>SUMIF('5.Thu tiền'!$D:$D,$A82,'5.Thu tiền'!$H:$H)</f>
        <v>0</v>
      </c>
      <c r="F82" s="129">
        <f t="shared" si="2"/>
        <v>0</v>
      </c>
      <c r="G82" s="99"/>
      <c r="H82" s="99"/>
      <c r="I82" s="99"/>
      <c r="J82" s="125"/>
      <c r="K82" s="125"/>
      <c r="L82" s="125"/>
    </row>
    <row r="83">
      <c r="A83" s="92" t="s">
        <v>393</v>
      </c>
      <c r="B83" s="166"/>
      <c r="C83" s="127"/>
      <c r="D83" s="127">
        <f>SUMIF('4.Đơn hàng'!$D:$D,$A83,'4.Đơn hàng'!$H:$H)</f>
        <v>0</v>
      </c>
      <c r="E83" s="129">
        <f>SUMIF('5.Thu tiền'!$D:$D,$A83,'5.Thu tiền'!$H:$H)</f>
        <v>0</v>
      </c>
      <c r="F83" s="129">
        <f t="shared" si="2"/>
        <v>0</v>
      </c>
      <c r="G83" s="99"/>
      <c r="H83" s="99"/>
      <c r="I83" s="99"/>
      <c r="J83" s="125"/>
      <c r="K83" s="125"/>
      <c r="L83" s="125"/>
    </row>
    <row r="84">
      <c r="A84" s="92" t="s">
        <v>397</v>
      </c>
      <c r="B84" s="166"/>
      <c r="C84" s="127"/>
      <c r="D84" s="127">
        <f>SUMIF('4.Đơn hàng'!$D:$D,$A84,'4.Đơn hàng'!$H:$H)</f>
        <v>0</v>
      </c>
      <c r="E84" s="129">
        <f>SUMIF('5.Thu tiền'!$D:$D,$A84,'5.Thu tiền'!$H:$H)</f>
        <v>0</v>
      </c>
      <c r="F84" s="129">
        <f t="shared" si="2"/>
        <v>0</v>
      </c>
      <c r="G84" s="99"/>
      <c r="H84" s="99"/>
      <c r="I84" s="99"/>
      <c r="J84" s="125"/>
      <c r="K84" s="125"/>
      <c r="L84" s="125"/>
    </row>
    <row r="85">
      <c r="A85" s="92" t="s">
        <v>400</v>
      </c>
      <c r="B85" s="166"/>
      <c r="C85" s="127"/>
      <c r="D85" s="127">
        <f>SUMIF('4.Đơn hàng'!$D:$D,$A85,'4.Đơn hàng'!$H:$H)</f>
        <v>0</v>
      </c>
      <c r="E85" s="129">
        <f>SUMIF('5.Thu tiền'!$D:$D,$A85,'5.Thu tiền'!$H:$H)</f>
        <v>0</v>
      </c>
      <c r="F85" s="129">
        <f t="shared" si="2"/>
        <v>0</v>
      </c>
      <c r="G85" s="99"/>
      <c r="H85" s="99"/>
      <c r="I85" s="99"/>
      <c r="J85" s="125"/>
      <c r="K85" s="125"/>
      <c r="L85" s="125"/>
    </row>
    <row r="86">
      <c r="A86" s="92" t="s">
        <v>403</v>
      </c>
      <c r="B86" s="166"/>
      <c r="C86" s="127"/>
      <c r="D86" s="127">
        <f>SUMIF('4.Đơn hàng'!$D:$D,$A86,'4.Đơn hàng'!$H:$H)</f>
        <v>0</v>
      </c>
      <c r="E86" s="129">
        <f>SUMIF('5.Thu tiền'!$D:$D,$A86,'5.Thu tiền'!$H:$H)</f>
        <v>0</v>
      </c>
      <c r="F86" s="129">
        <f t="shared" si="2"/>
        <v>0</v>
      </c>
      <c r="G86" s="99"/>
      <c r="H86" s="99"/>
      <c r="I86" s="99"/>
      <c r="J86" s="125"/>
      <c r="K86" s="125"/>
      <c r="L86" s="125"/>
    </row>
    <row r="87">
      <c r="A87" s="92" t="s">
        <v>406</v>
      </c>
      <c r="B87" s="166"/>
      <c r="C87" s="127"/>
      <c r="D87" s="127">
        <f>SUMIF('4.Đơn hàng'!$D:$D,$A87,'4.Đơn hàng'!$H:$H)</f>
        <v>0</v>
      </c>
      <c r="E87" s="129">
        <f>SUMIF('5.Thu tiền'!$D:$D,$A87,'5.Thu tiền'!$H:$H)</f>
        <v>0</v>
      </c>
      <c r="F87" s="129">
        <f t="shared" si="2"/>
        <v>0</v>
      </c>
      <c r="G87" s="99"/>
      <c r="H87" s="99"/>
      <c r="I87" s="99"/>
      <c r="J87" s="125"/>
      <c r="K87" s="125"/>
      <c r="L87" s="125"/>
    </row>
    <row r="88">
      <c r="A88" s="92" t="s">
        <v>410</v>
      </c>
      <c r="B88" s="166"/>
      <c r="C88" s="127"/>
      <c r="D88" s="127">
        <f>SUMIF('4.Đơn hàng'!$D:$D,$A88,'4.Đơn hàng'!$H:$H)</f>
        <v>0</v>
      </c>
      <c r="E88" s="129">
        <f>SUMIF('5.Thu tiền'!$D:$D,$A88,'5.Thu tiền'!$H:$H)</f>
        <v>0</v>
      </c>
      <c r="F88" s="129">
        <f t="shared" si="2"/>
        <v>0</v>
      </c>
      <c r="G88" s="99"/>
      <c r="H88" s="99"/>
      <c r="I88" s="99"/>
      <c r="J88" s="125"/>
      <c r="K88" s="125"/>
      <c r="L88" s="125"/>
    </row>
    <row r="89">
      <c r="A89" s="92" t="s">
        <v>412</v>
      </c>
      <c r="B89" s="166"/>
      <c r="C89" s="127"/>
      <c r="D89" s="127">
        <f>SUMIF('4.Đơn hàng'!$D:$D,$A89,'4.Đơn hàng'!$H:$H)</f>
        <v>0</v>
      </c>
      <c r="E89" s="129">
        <f>SUMIF('5.Thu tiền'!$D:$D,$A89,'5.Thu tiền'!$H:$H)</f>
        <v>0</v>
      </c>
      <c r="F89" s="129">
        <f t="shared" si="2"/>
        <v>0</v>
      </c>
      <c r="G89" s="99"/>
      <c r="H89" s="99"/>
      <c r="I89" s="99"/>
      <c r="J89" s="125"/>
      <c r="K89" s="125"/>
      <c r="L89" s="125"/>
    </row>
    <row r="90">
      <c r="A90" s="92" t="s">
        <v>415</v>
      </c>
      <c r="B90" s="166"/>
      <c r="C90" s="127"/>
      <c r="D90" s="127">
        <f>SUMIF('4.Đơn hàng'!$D:$D,$A90,'4.Đơn hàng'!$H:$H)</f>
        <v>0</v>
      </c>
      <c r="E90" s="129">
        <f>SUMIF('5.Thu tiền'!$D:$D,$A90,'5.Thu tiền'!$H:$H)</f>
        <v>0</v>
      </c>
      <c r="F90" s="129">
        <f t="shared" si="2"/>
        <v>0</v>
      </c>
      <c r="G90" s="99"/>
      <c r="H90" s="99"/>
      <c r="I90" s="99"/>
      <c r="J90" s="125"/>
      <c r="K90" s="125"/>
      <c r="L90" s="125"/>
    </row>
    <row r="91">
      <c r="A91" s="92" t="s">
        <v>418</v>
      </c>
      <c r="B91" s="166"/>
      <c r="C91" s="127"/>
      <c r="D91" s="127">
        <f>SUMIF('4.Đơn hàng'!$D:$D,$A91,'4.Đơn hàng'!$H:$H)</f>
        <v>0</v>
      </c>
      <c r="E91" s="129">
        <f>SUMIF('5.Thu tiền'!$D:$D,$A91,'5.Thu tiền'!$H:$H)</f>
        <v>0</v>
      </c>
      <c r="F91" s="129">
        <f t="shared" si="2"/>
        <v>0</v>
      </c>
      <c r="G91" s="99"/>
      <c r="H91" s="99"/>
      <c r="I91" s="99"/>
      <c r="J91" s="125"/>
      <c r="K91" s="125"/>
      <c r="L91" s="125"/>
    </row>
    <row r="92">
      <c r="A92" s="92" t="s">
        <v>421</v>
      </c>
      <c r="B92" s="166"/>
      <c r="C92" s="127"/>
      <c r="D92" s="127">
        <f>SUMIF('4.Đơn hàng'!$D:$D,$A92,'4.Đơn hàng'!$H:$H)</f>
        <v>0</v>
      </c>
      <c r="E92" s="129">
        <f>SUMIF('5.Thu tiền'!$D:$D,$A92,'5.Thu tiền'!$H:$H)</f>
        <v>0</v>
      </c>
      <c r="F92" s="129">
        <f t="shared" si="2"/>
        <v>0</v>
      </c>
      <c r="G92" s="99"/>
      <c r="H92" s="99"/>
      <c r="I92" s="99"/>
      <c r="J92" s="125"/>
      <c r="K92" s="125"/>
      <c r="L92" s="125"/>
    </row>
    <row r="93">
      <c r="A93" s="92" t="s">
        <v>424</v>
      </c>
      <c r="B93" s="166"/>
      <c r="C93" s="127"/>
      <c r="D93" s="127">
        <f>SUMIF('4.Đơn hàng'!$D:$D,$A93,'4.Đơn hàng'!$H:$H)</f>
        <v>0</v>
      </c>
      <c r="E93" s="129">
        <f>SUMIF('5.Thu tiền'!$D:$D,$A93,'5.Thu tiền'!$H:$H)</f>
        <v>0</v>
      </c>
      <c r="F93" s="129">
        <f t="shared" si="2"/>
        <v>0</v>
      </c>
      <c r="G93" s="99"/>
      <c r="H93" s="99"/>
      <c r="I93" s="99"/>
      <c r="J93" s="125"/>
      <c r="K93" s="125"/>
      <c r="L93" s="125"/>
    </row>
    <row r="94">
      <c r="A94" s="92" t="s">
        <v>428</v>
      </c>
      <c r="B94" s="166"/>
      <c r="C94" s="127"/>
      <c r="D94" s="127">
        <f>SUMIF('4.Đơn hàng'!$D:$D,$A94,'4.Đơn hàng'!$H:$H)</f>
        <v>0</v>
      </c>
      <c r="E94" s="129">
        <f>SUMIF('5.Thu tiền'!$D:$D,$A94,'5.Thu tiền'!$H:$H)</f>
        <v>0</v>
      </c>
      <c r="F94" s="129">
        <f t="shared" si="2"/>
        <v>0</v>
      </c>
      <c r="G94" s="99"/>
      <c r="H94" s="99"/>
      <c r="I94" s="99"/>
      <c r="J94" s="125"/>
      <c r="K94" s="125"/>
      <c r="L94" s="125"/>
    </row>
    <row r="95">
      <c r="A95" s="92" t="s">
        <v>432</v>
      </c>
      <c r="B95" s="166"/>
      <c r="C95" s="127"/>
      <c r="D95" s="127">
        <f>SUMIF('4.Đơn hàng'!$D:$D,$A95,'4.Đơn hàng'!$H:$H)</f>
        <v>0</v>
      </c>
      <c r="E95" s="129">
        <f>SUMIF('5.Thu tiền'!$D:$D,$A95,'5.Thu tiền'!$H:$H)</f>
        <v>0</v>
      </c>
      <c r="F95" s="129">
        <f t="shared" si="2"/>
        <v>0</v>
      </c>
      <c r="G95" s="99"/>
      <c r="H95" s="99"/>
      <c r="I95" s="99"/>
      <c r="J95" s="125"/>
      <c r="K95" s="125"/>
      <c r="L95" s="125"/>
    </row>
    <row r="96">
      <c r="A96" s="92" t="s">
        <v>436</v>
      </c>
      <c r="B96" s="166"/>
      <c r="C96" s="127"/>
      <c r="D96" s="127">
        <f>SUMIF('4.Đơn hàng'!$D:$D,$A96,'4.Đơn hàng'!$H:$H)</f>
        <v>0</v>
      </c>
      <c r="E96" s="129">
        <f>SUMIF('5.Thu tiền'!$D:$D,$A96,'5.Thu tiền'!$H:$H)</f>
        <v>0</v>
      </c>
      <c r="F96" s="129">
        <f t="shared" si="2"/>
        <v>0</v>
      </c>
      <c r="G96" s="99"/>
      <c r="H96" s="99"/>
      <c r="I96" s="99"/>
      <c r="J96" s="125"/>
      <c r="K96" s="125"/>
      <c r="L96" s="125"/>
    </row>
    <row r="97">
      <c r="A97" s="92" t="s">
        <v>439</v>
      </c>
      <c r="B97" s="166"/>
      <c r="C97" s="127"/>
      <c r="D97" s="127">
        <f>SUMIF('4.Đơn hàng'!$D:$D,$A97,'4.Đơn hàng'!$H:$H)</f>
        <v>0</v>
      </c>
      <c r="E97" s="129">
        <f>SUMIF('5.Thu tiền'!$D:$D,$A97,'5.Thu tiền'!$H:$H)</f>
        <v>0</v>
      </c>
      <c r="F97" s="129">
        <f t="shared" si="2"/>
        <v>0</v>
      </c>
      <c r="G97" s="99"/>
      <c r="H97" s="99"/>
      <c r="I97" s="99"/>
      <c r="J97" s="125"/>
      <c r="K97" s="125"/>
      <c r="L97" s="125"/>
    </row>
    <row r="98">
      <c r="A98" s="92" t="s">
        <v>442</v>
      </c>
      <c r="B98" s="166"/>
      <c r="C98" s="127"/>
      <c r="D98" s="127">
        <f>SUMIF('4.Đơn hàng'!$D:$D,$A98,'4.Đơn hàng'!$H:$H)</f>
        <v>0</v>
      </c>
      <c r="E98" s="129">
        <f>SUMIF('5.Thu tiền'!$D:$D,$A98,'5.Thu tiền'!$H:$H)</f>
        <v>0</v>
      </c>
      <c r="F98" s="129">
        <f t="shared" si="2"/>
        <v>0</v>
      </c>
      <c r="G98" s="99"/>
      <c r="H98" s="99"/>
      <c r="I98" s="99"/>
      <c r="J98" s="125"/>
      <c r="K98" s="125"/>
      <c r="L98" s="125"/>
    </row>
    <row r="99">
      <c r="A99" s="92" t="s">
        <v>426</v>
      </c>
      <c r="B99" s="166"/>
      <c r="C99" s="127"/>
      <c r="D99" s="127">
        <f>SUMIF('4.Đơn hàng'!$D:$D,$A99,'4.Đơn hàng'!$H:$H)</f>
        <v>0</v>
      </c>
      <c r="E99" s="129">
        <f>SUMIF('5.Thu tiền'!$D:$D,$A99,'5.Thu tiền'!$H:$H)</f>
        <v>0</v>
      </c>
      <c r="F99" s="129">
        <f t="shared" si="2"/>
        <v>0</v>
      </c>
      <c r="G99" s="99"/>
      <c r="H99" s="99"/>
      <c r="I99" s="99"/>
      <c r="J99" s="125"/>
      <c r="K99" s="125"/>
      <c r="L99" s="125"/>
    </row>
    <row r="100">
      <c r="A100" s="92" t="s">
        <v>427</v>
      </c>
      <c r="B100" s="166"/>
      <c r="C100" s="127"/>
      <c r="D100" s="127">
        <f>SUMIF('4.Đơn hàng'!$D:$D,$A100,'4.Đơn hàng'!$H:$H)</f>
        <v>0</v>
      </c>
      <c r="E100" s="129">
        <f>SUMIF('5.Thu tiền'!$D:$D,$A100,'5.Thu tiền'!$H:$H)</f>
        <v>0</v>
      </c>
      <c r="F100" s="129">
        <f t="shared" si="2"/>
        <v>0</v>
      </c>
      <c r="G100" s="99"/>
      <c r="H100" s="99"/>
      <c r="I100" s="99"/>
      <c r="J100" s="125"/>
      <c r="K100" s="125"/>
      <c r="L100" s="125"/>
    </row>
    <row r="101">
      <c r="A101" s="92" t="s">
        <v>429</v>
      </c>
      <c r="B101" s="166"/>
      <c r="C101" s="127"/>
      <c r="D101" s="127">
        <f>SUMIF('4.Đơn hàng'!$D:$D,$A101,'4.Đơn hàng'!$H:$H)</f>
        <v>0</v>
      </c>
      <c r="E101" s="129">
        <f>SUMIF('5.Thu tiền'!$D:$D,$A101,'5.Thu tiền'!$H:$H)</f>
        <v>0</v>
      </c>
      <c r="F101" s="129">
        <f t="shared" si="2"/>
        <v>0</v>
      </c>
      <c r="G101" s="99"/>
      <c r="H101" s="99"/>
      <c r="I101" s="99"/>
      <c r="J101" s="125"/>
      <c r="K101" s="125"/>
      <c r="L101" s="125"/>
    </row>
    <row r="102">
      <c r="A102" s="92" t="s">
        <v>430</v>
      </c>
      <c r="B102" s="166"/>
      <c r="C102" s="127"/>
      <c r="D102" s="127">
        <f>SUMIF('4.Đơn hàng'!$D:$D,$A102,'4.Đơn hàng'!$H:$H)</f>
        <v>0</v>
      </c>
      <c r="E102" s="129">
        <f>SUMIF('5.Thu tiền'!$D:$D,$A102,'5.Thu tiền'!$H:$H)</f>
        <v>0</v>
      </c>
      <c r="F102" s="129">
        <f t="shared" si="2"/>
        <v>0</v>
      </c>
      <c r="G102" s="99"/>
      <c r="H102" s="99"/>
      <c r="I102" s="99"/>
      <c r="J102" s="125"/>
      <c r="K102" s="125"/>
      <c r="L102" s="125"/>
    </row>
    <row r="103">
      <c r="A103" s="92" t="s">
        <v>431</v>
      </c>
      <c r="B103" s="166"/>
      <c r="C103" s="127"/>
      <c r="D103" s="127">
        <f>SUMIF('4.Đơn hàng'!$D:$D,$A103,'4.Đơn hàng'!$H:$H)</f>
        <v>0</v>
      </c>
      <c r="E103" s="129">
        <f>SUMIF('5.Thu tiền'!$D:$D,$A103,'5.Thu tiền'!$H:$H)</f>
        <v>0</v>
      </c>
      <c r="F103" s="129">
        <f t="shared" si="2"/>
        <v>0</v>
      </c>
      <c r="G103" s="99"/>
      <c r="H103" s="99"/>
      <c r="I103" s="99"/>
      <c r="J103" s="125"/>
      <c r="K103" s="125"/>
      <c r="L103" s="125"/>
    </row>
    <row r="104">
      <c r="A104" s="92" t="s">
        <v>433</v>
      </c>
      <c r="B104" s="166"/>
      <c r="C104" s="127"/>
      <c r="D104" s="127">
        <f>SUMIF('4.Đơn hàng'!$D:$D,$A104,'4.Đơn hàng'!$H:$H)</f>
        <v>0</v>
      </c>
      <c r="E104" s="129">
        <f>SUMIF('5.Thu tiền'!$D:$D,$A104,'5.Thu tiền'!$H:$H)</f>
        <v>0</v>
      </c>
      <c r="F104" s="129">
        <f t="shared" si="2"/>
        <v>0</v>
      </c>
      <c r="G104" s="99"/>
      <c r="H104" s="99"/>
      <c r="I104" s="99"/>
      <c r="J104" s="125"/>
      <c r="K104" s="125"/>
      <c r="L104" s="125"/>
    </row>
    <row r="105">
      <c r="A105" s="92" t="s">
        <v>434</v>
      </c>
      <c r="B105" s="166"/>
      <c r="C105" s="127"/>
      <c r="D105" s="127">
        <f>SUMIF('4.Đơn hàng'!$D:$D,$A105,'4.Đơn hàng'!$H:$H)</f>
        <v>0</v>
      </c>
      <c r="E105" s="129">
        <f>SUMIF('5.Thu tiền'!$D:$D,$A105,'5.Thu tiền'!$H:$H)</f>
        <v>0</v>
      </c>
      <c r="F105" s="129">
        <f t="shared" si="2"/>
        <v>0</v>
      </c>
      <c r="G105" s="99"/>
      <c r="H105" s="99"/>
      <c r="I105" s="99"/>
      <c r="J105" s="125"/>
      <c r="K105" s="125"/>
      <c r="L105" s="125"/>
    </row>
    <row r="106">
      <c r="A106" s="92" t="s">
        <v>435</v>
      </c>
      <c r="B106" s="166"/>
      <c r="C106" s="127"/>
      <c r="D106" s="127">
        <f>SUMIF('4.Đơn hàng'!$D:$D,$A106,'4.Đơn hàng'!$H:$H)</f>
        <v>0</v>
      </c>
      <c r="E106" s="129">
        <f>SUMIF('5.Thu tiền'!$D:$D,$A106,'5.Thu tiền'!$H:$H)</f>
        <v>0</v>
      </c>
      <c r="F106" s="129">
        <f t="shared" si="2"/>
        <v>0</v>
      </c>
      <c r="G106" s="99"/>
      <c r="H106" s="99"/>
      <c r="I106" s="99"/>
      <c r="J106" s="125"/>
      <c r="K106" s="125"/>
      <c r="L106" s="125"/>
    </row>
    <row r="107">
      <c r="A107" s="92" t="s">
        <v>437</v>
      </c>
      <c r="B107" s="166"/>
      <c r="C107" s="127"/>
      <c r="D107" s="127">
        <f>SUMIF('4.Đơn hàng'!$D:$D,$A107,'4.Đơn hàng'!$H:$H)</f>
        <v>0</v>
      </c>
      <c r="E107" s="129">
        <f>SUMIF('5.Thu tiền'!$D:$D,$A107,'5.Thu tiền'!$H:$H)</f>
        <v>0</v>
      </c>
      <c r="F107" s="129">
        <f t="shared" si="2"/>
        <v>0</v>
      </c>
      <c r="G107" s="99"/>
      <c r="H107" s="99"/>
      <c r="I107" s="99"/>
      <c r="J107" s="125"/>
      <c r="K107" s="125"/>
      <c r="L107" s="125"/>
    </row>
    <row r="108">
      <c r="A108" s="92" t="s">
        <v>438</v>
      </c>
      <c r="B108" s="166"/>
      <c r="C108" s="127"/>
      <c r="D108" s="127">
        <f>SUMIF('4.Đơn hàng'!$D:$D,$A108,'4.Đơn hàng'!$H:$H)</f>
        <v>0</v>
      </c>
      <c r="E108" s="129">
        <f>SUMIF('5.Thu tiền'!$D:$D,$A108,'5.Thu tiền'!$H:$H)</f>
        <v>0</v>
      </c>
      <c r="F108" s="129">
        <f t="shared" si="2"/>
        <v>0</v>
      </c>
      <c r="G108" s="99"/>
      <c r="H108" s="99"/>
      <c r="I108" s="99"/>
      <c r="J108" s="125"/>
      <c r="K108" s="125"/>
      <c r="L108" s="125"/>
    </row>
    <row r="109">
      <c r="A109" s="92" t="s">
        <v>440</v>
      </c>
      <c r="B109" s="166"/>
      <c r="C109" s="127"/>
      <c r="D109" s="127">
        <f>SUMIF('4.Đơn hàng'!$D:$D,$A109,'4.Đơn hàng'!$H:$H)</f>
        <v>0</v>
      </c>
      <c r="E109" s="129">
        <f>SUMIF('5.Thu tiền'!$D:$D,$A109,'5.Thu tiền'!$H:$H)</f>
        <v>0</v>
      </c>
      <c r="F109" s="129">
        <f t="shared" si="2"/>
        <v>0</v>
      </c>
      <c r="G109" s="99"/>
      <c r="H109" s="99"/>
      <c r="I109" s="99"/>
      <c r="J109" s="125"/>
      <c r="K109" s="125"/>
      <c r="L109" s="125"/>
    </row>
    <row r="110">
      <c r="A110" s="92" t="s">
        <v>441</v>
      </c>
      <c r="B110" s="166"/>
      <c r="C110" s="127"/>
      <c r="D110" s="127">
        <f>SUMIF('4.Đơn hàng'!$D:$D,$A110,'4.Đơn hàng'!$H:$H)</f>
        <v>0</v>
      </c>
      <c r="E110" s="129">
        <f>SUMIF('5.Thu tiền'!$D:$D,$A110,'5.Thu tiền'!$H:$H)</f>
        <v>0</v>
      </c>
      <c r="F110" s="129">
        <f t="shared" si="2"/>
        <v>0</v>
      </c>
      <c r="G110" s="99"/>
      <c r="H110" s="99"/>
      <c r="I110" s="99"/>
      <c r="J110" s="125"/>
      <c r="K110" s="125"/>
      <c r="L110" s="1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75"/>
    <col customWidth="1" min="2" max="8" width="14.63"/>
  </cols>
  <sheetData>
    <row r="1">
      <c r="A1" s="130" t="s">
        <v>150</v>
      </c>
      <c r="B1" s="131" t="s">
        <v>82</v>
      </c>
      <c r="H1" s="132" t="s">
        <v>117</v>
      </c>
      <c r="L1" s="133" t="s">
        <v>61</v>
      </c>
      <c r="P1" s="134" t="s">
        <v>126</v>
      </c>
    </row>
    <row r="2">
      <c r="A2" s="135"/>
      <c r="B2" s="136" t="s">
        <v>153</v>
      </c>
      <c r="D2" s="137" t="s">
        <v>156</v>
      </c>
      <c r="F2" s="136" t="s">
        <v>157</v>
      </c>
      <c r="H2" s="138" t="s">
        <v>158</v>
      </c>
      <c r="J2" s="139" t="s">
        <v>159</v>
      </c>
      <c r="L2" s="140" t="s">
        <v>160</v>
      </c>
      <c r="N2" s="141" t="s">
        <v>161</v>
      </c>
      <c r="P2" s="142" t="s">
        <v>162</v>
      </c>
      <c r="R2" s="142" t="s">
        <v>164</v>
      </c>
    </row>
    <row r="3">
      <c r="A3" s="143"/>
      <c r="B3" s="131" t="s">
        <v>166</v>
      </c>
      <c r="C3" s="131" t="s">
        <v>27</v>
      </c>
      <c r="D3" s="131" t="s">
        <v>166</v>
      </c>
      <c r="E3" s="131" t="s">
        <v>27</v>
      </c>
      <c r="F3" s="131" t="s">
        <v>166</v>
      </c>
      <c r="G3" s="131" t="s">
        <v>27</v>
      </c>
      <c r="H3" s="132" t="s">
        <v>166</v>
      </c>
      <c r="I3" s="132" t="s">
        <v>27</v>
      </c>
      <c r="J3" s="132" t="s">
        <v>166</v>
      </c>
      <c r="K3" s="132" t="s">
        <v>27</v>
      </c>
      <c r="L3" s="133" t="s">
        <v>166</v>
      </c>
      <c r="M3" s="133" t="s">
        <v>27</v>
      </c>
      <c r="N3" s="133" t="s">
        <v>166</v>
      </c>
      <c r="O3" s="133" t="s">
        <v>27</v>
      </c>
      <c r="P3" s="134" t="s">
        <v>166</v>
      </c>
      <c r="Q3" s="134" t="s">
        <v>27</v>
      </c>
      <c r="R3" s="134" t="s">
        <v>166</v>
      </c>
      <c r="S3" s="134" t="s">
        <v>27</v>
      </c>
    </row>
    <row r="4">
      <c r="A4" s="144"/>
      <c r="B4" s="145"/>
      <c r="C4" s="146"/>
      <c r="D4" s="145"/>
      <c r="E4" s="146"/>
      <c r="F4" s="145"/>
      <c r="G4" s="146"/>
      <c r="H4" s="147"/>
      <c r="I4" s="148"/>
      <c r="J4" s="149"/>
      <c r="K4" s="150"/>
      <c r="L4" s="151"/>
      <c r="M4" s="152"/>
      <c r="N4" s="151"/>
      <c r="O4" s="152"/>
      <c r="P4" s="153"/>
      <c r="Q4" s="154"/>
      <c r="R4" s="153"/>
      <c r="S4" s="154"/>
    </row>
    <row r="5">
      <c r="A5" s="144"/>
      <c r="B5" s="145"/>
      <c r="C5" s="146"/>
      <c r="D5" s="145"/>
      <c r="E5" s="146"/>
      <c r="F5" s="145"/>
      <c r="G5" s="146"/>
      <c r="H5" s="147"/>
      <c r="I5" s="155"/>
      <c r="J5" s="149"/>
      <c r="K5" s="150"/>
      <c r="L5" s="151"/>
      <c r="M5" s="152"/>
      <c r="N5" s="151"/>
      <c r="O5" s="152"/>
      <c r="P5" s="153"/>
      <c r="Q5" s="154"/>
      <c r="R5" s="153"/>
      <c r="S5" s="154"/>
    </row>
    <row r="6">
      <c r="A6" s="144"/>
      <c r="B6" s="145"/>
      <c r="C6" s="146"/>
      <c r="D6" s="145"/>
      <c r="E6" s="146"/>
      <c r="F6" s="145"/>
      <c r="G6" s="146"/>
      <c r="H6" s="147"/>
      <c r="I6" s="155"/>
      <c r="J6" s="149"/>
      <c r="K6" s="150"/>
      <c r="L6" s="151"/>
      <c r="M6" s="152"/>
      <c r="N6" s="151"/>
      <c r="O6" s="152"/>
      <c r="P6" s="153"/>
      <c r="Q6" s="154"/>
      <c r="R6" s="153"/>
      <c r="S6" s="154"/>
    </row>
    <row r="7">
      <c r="A7" s="144"/>
      <c r="B7" s="145"/>
      <c r="C7" s="146"/>
      <c r="D7" s="145"/>
      <c r="E7" s="146"/>
      <c r="F7" s="145"/>
      <c r="G7" s="146"/>
      <c r="H7" s="147"/>
      <c r="I7" s="155"/>
      <c r="J7" s="149"/>
      <c r="K7" s="150"/>
      <c r="L7" s="151"/>
      <c r="M7" s="152"/>
      <c r="N7" s="151"/>
      <c r="O7" s="152"/>
      <c r="P7" s="153"/>
      <c r="Q7" s="154"/>
      <c r="R7" s="153"/>
      <c r="S7" s="154"/>
    </row>
    <row r="8">
      <c r="A8" s="144"/>
      <c r="B8" s="145"/>
      <c r="C8" s="146"/>
      <c r="D8" s="145"/>
      <c r="E8" s="146"/>
      <c r="F8" s="145"/>
      <c r="G8" s="146"/>
      <c r="H8" s="147"/>
      <c r="I8" s="155"/>
      <c r="J8" s="149"/>
      <c r="K8" s="150"/>
      <c r="L8" s="151"/>
      <c r="M8" s="152"/>
      <c r="N8" s="151"/>
      <c r="O8" s="152"/>
      <c r="P8" s="153"/>
      <c r="Q8" s="154"/>
      <c r="R8" s="153"/>
      <c r="S8" s="154"/>
    </row>
    <row r="9">
      <c r="A9" s="144"/>
      <c r="B9" s="145"/>
      <c r="C9" s="146"/>
      <c r="D9" s="145"/>
      <c r="E9" s="146"/>
      <c r="F9" s="145"/>
      <c r="G9" s="146"/>
      <c r="H9" s="147"/>
      <c r="I9" s="155"/>
      <c r="J9" s="149"/>
      <c r="K9" s="150"/>
      <c r="L9" s="151"/>
      <c r="M9" s="152"/>
      <c r="N9" s="151"/>
      <c r="O9" s="152"/>
      <c r="P9" s="153"/>
      <c r="Q9" s="154"/>
      <c r="R9" s="153"/>
      <c r="S9" s="154"/>
    </row>
    <row r="10">
      <c r="A10" s="144"/>
      <c r="B10" s="145"/>
      <c r="C10" s="146"/>
      <c r="D10" s="145"/>
      <c r="E10" s="146"/>
      <c r="F10" s="145"/>
      <c r="G10" s="146"/>
      <c r="H10" s="147"/>
      <c r="I10" s="155"/>
      <c r="J10" s="149"/>
      <c r="K10" s="150"/>
      <c r="L10" s="151"/>
      <c r="M10" s="152"/>
      <c r="N10" s="151"/>
      <c r="O10" s="152"/>
      <c r="P10" s="153"/>
      <c r="Q10" s="154"/>
      <c r="R10" s="153"/>
      <c r="S10" s="154"/>
    </row>
    <row r="11">
      <c r="A11" s="144"/>
      <c r="B11" s="156"/>
      <c r="C11" s="157"/>
      <c r="D11" s="156"/>
      <c r="E11" s="157"/>
      <c r="F11" s="156"/>
      <c r="G11" s="157"/>
      <c r="H11" s="158"/>
      <c r="I11" s="159"/>
      <c r="J11" s="158"/>
      <c r="K11" s="150"/>
      <c r="L11" s="151"/>
      <c r="M11" s="152"/>
      <c r="N11" s="151"/>
      <c r="O11" s="152"/>
      <c r="P11" s="153"/>
      <c r="Q11" s="154"/>
      <c r="R11" s="153"/>
      <c r="S11" s="154"/>
    </row>
    <row r="12">
      <c r="A12" s="144"/>
      <c r="B12" s="156"/>
      <c r="C12" s="157"/>
      <c r="D12" s="156"/>
      <c r="E12" s="157"/>
      <c r="F12" s="156"/>
      <c r="G12" s="157"/>
      <c r="H12" s="158"/>
      <c r="I12" s="148"/>
      <c r="J12" s="149"/>
      <c r="K12" s="150"/>
      <c r="L12" s="151"/>
      <c r="M12" s="152"/>
      <c r="N12" s="151"/>
      <c r="O12" s="152"/>
      <c r="P12" s="153"/>
      <c r="Q12" s="154"/>
      <c r="R12" s="153"/>
      <c r="S12" s="154"/>
    </row>
    <row r="13">
      <c r="A13" s="144"/>
      <c r="B13" s="160"/>
      <c r="C13" s="161"/>
      <c r="D13" s="160"/>
      <c r="E13" s="161"/>
      <c r="F13" s="160"/>
      <c r="G13" s="161"/>
      <c r="H13" s="149"/>
      <c r="I13" s="150"/>
      <c r="J13" s="149"/>
      <c r="K13" s="150"/>
      <c r="L13" s="151"/>
      <c r="M13" s="152"/>
      <c r="N13" s="151"/>
      <c r="O13" s="152"/>
      <c r="P13" s="153"/>
      <c r="Q13" s="154"/>
      <c r="R13" s="153"/>
      <c r="S13" s="154"/>
    </row>
    <row r="14">
      <c r="A14" s="144"/>
      <c r="B14" s="160"/>
      <c r="C14" s="161"/>
      <c r="D14" s="160"/>
      <c r="E14" s="161"/>
      <c r="F14" s="160"/>
      <c r="G14" s="161"/>
      <c r="H14" s="149"/>
      <c r="I14" s="150"/>
      <c r="J14" s="149"/>
      <c r="K14" s="150"/>
      <c r="L14" s="151"/>
      <c r="M14" s="152"/>
      <c r="N14" s="151"/>
      <c r="O14" s="152"/>
      <c r="P14" s="153"/>
      <c r="Q14" s="154"/>
      <c r="R14" s="153"/>
      <c r="S14" s="154"/>
    </row>
  </sheetData>
  <mergeCells count="13">
    <mergeCell ref="H2:I2"/>
    <mergeCell ref="J2:K2"/>
    <mergeCell ref="L2:M2"/>
    <mergeCell ref="N2:O2"/>
    <mergeCell ref="P2:Q2"/>
    <mergeCell ref="R2:S2"/>
    <mergeCell ref="B1:G1"/>
    <mergeCell ref="H1:K1"/>
    <mergeCell ref="L1:O1"/>
    <mergeCell ref="P1:S1"/>
    <mergeCell ref="B2:C2"/>
    <mergeCell ref="D2:E2"/>
    <mergeCell ref="F2:G2"/>
  </mergeCells>
  <dataValidations>
    <dataValidation type="list" allowBlank="1" showErrorMessage="1" sqref="C4:C14 E4:E14 G4:G14 I4:I14 K4:K14 M4:M14 O4:O14 Q4:Q14 S4:S14">
      <formula1>'3.Khách hàng'!$B$3:$B$110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9.25"/>
    <col customWidth="1" min="2" max="2" width="18.13"/>
    <col customWidth="1" min="3" max="3" width="8.88"/>
    <col customWidth="1" min="4" max="4" width="18.13"/>
    <col customWidth="1" min="5" max="5" width="11.25"/>
  </cols>
  <sheetData>
    <row r="1">
      <c r="A1" s="162" t="s">
        <v>185</v>
      </c>
      <c r="B1" s="162" t="s">
        <v>188</v>
      </c>
      <c r="C1" s="162" t="s">
        <v>189</v>
      </c>
      <c r="D1" s="162" t="s">
        <v>6</v>
      </c>
      <c r="E1" s="162" t="s">
        <v>44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</row>
    <row r="2">
      <c r="A2" s="121"/>
      <c r="B2" s="57"/>
      <c r="C2" s="57"/>
      <c r="D2" s="57"/>
      <c r="E2" s="82"/>
      <c r="F2" s="163" t="str">
        <f t="shared" ref="F2:R2" si="1">SUM(F3:F16)</f>
        <v>#VALUE!</v>
      </c>
      <c r="G2" s="163" t="str">
        <f t="shared" si="1"/>
        <v>#VALUE!</v>
      </c>
      <c r="H2" s="163" t="str">
        <f t="shared" si="1"/>
        <v>#VALUE!</v>
      </c>
      <c r="I2" s="163" t="str">
        <f t="shared" si="1"/>
        <v>#VALUE!</v>
      </c>
      <c r="J2" s="163" t="str">
        <f t="shared" si="1"/>
        <v>#VALUE!</v>
      </c>
      <c r="K2" s="163" t="str">
        <f t="shared" si="1"/>
        <v>#VALUE!</v>
      </c>
      <c r="L2" s="163" t="str">
        <f t="shared" si="1"/>
        <v>#VALUE!</v>
      </c>
      <c r="M2" s="163" t="str">
        <f t="shared" si="1"/>
        <v>#VALUE!</v>
      </c>
      <c r="N2" s="163" t="str">
        <f t="shared" si="1"/>
        <v>#VALUE!</v>
      </c>
      <c r="O2" s="163" t="str">
        <f t="shared" si="1"/>
        <v>#VALUE!</v>
      </c>
      <c r="P2" s="163" t="str">
        <f t="shared" si="1"/>
        <v>#VALUE!</v>
      </c>
      <c r="Q2" s="163" t="str">
        <f t="shared" si="1"/>
        <v>#VALUE!</v>
      </c>
      <c r="R2" s="163" t="str">
        <f t="shared" si="1"/>
        <v>#VALUE!</v>
      </c>
    </row>
    <row r="3">
      <c r="A3" s="121"/>
      <c r="B3" s="57" t="s">
        <v>117</v>
      </c>
      <c r="C3" s="57" t="s">
        <v>192</v>
      </c>
      <c r="D3" s="57" t="s">
        <v>117</v>
      </c>
      <c r="E3" s="82">
        <f>45986000*1.08</f>
        <v>49664880</v>
      </c>
      <c r="F3" s="164" t="str">
        <f t="shared" ref="F3:F9" si="2">SUM(G3:R3)</f>
        <v>#VALUE!</v>
      </c>
      <c r="G3" s="121" t="str">
        <f>SUMIFS('7.Doanh thu'!$F:$F,'7.Doanh thu'!$D:$D,$D3,#REF!,G$1)</f>
        <v>#VALUE!</v>
      </c>
      <c r="H3" s="121" t="str">
        <f>SUMIFS('7.Doanh thu'!$F:$F,'7.Doanh thu'!$D:$D,$D3,#REF!,H$1)</f>
        <v>#VALUE!</v>
      </c>
      <c r="I3" s="121" t="str">
        <f>SUMIFS('7.Doanh thu'!$F:$F,'7.Doanh thu'!$D:$D,$D3,#REF!,I$1)</f>
        <v>#VALUE!</v>
      </c>
      <c r="J3" s="121" t="str">
        <f>SUMIFS('7.Doanh thu'!$F:$F,'7.Doanh thu'!$D:$D,$D3,#REF!,J$1)</f>
        <v>#VALUE!</v>
      </c>
      <c r="K3" s="121" t="str">
        <f>SUMIFS('7.Doanh thu'!$F:$F,'7.Doanh thu'!$D:$D,$D3,#REF!,K$1)</f>
        <v>#VALUE!</v>
      </c>
      <c r="L3" s="121" t="str">
        <f>SUMIFS('7.Doanh thu'!$F:$F,'7.Doanh thu'!$D:$D,$D3,#REF!,L$1)</f>
        <v>#VALUE!</v>
      </c>
      <c r="M3" s="81" t="str">
        <f>SUMIFS('7.Doanh thu'!$F:$F,'7.Doanh thu'!$D:$D,$D3,#REF!,M$1)</f>
        <v>#VALUE!</v>
      </c>
      <c r="N3" s="121" t="str">
        <f>SUMIFS('7.Doanh thu'!$F:$F,'7.Doanh thu'!$D:$D,$D3,#REF!,N$1)</f>
        <v>#VALUE!</v>
      </c>
      <c r="O3" s="121" t="str">
        <f>SUMIFS('7.Doanh thu'!$F:$F,'7.Doanh thu'!$D:$D,$D3,#REF!,O$1)</f>
        <v>#VALUE!</v>
      </c>
      <c r="P3" s="121" t="str">
        <f>SUMIFS('7.Doanh thu'!$F:$F,'7.Doanh thu'!$D:$D,$D3,#REF!,P$1)</f>
        <v>#VALUE!</v>
      </c>
      <c r="Q3" s="121" t="str">
        <f>SUMIFS('7.Doanh thu'!$F:$F,'7.Doanh thu'!$D:$D,$D3,#REF!,Q$1)</f>
        <v>#VALUE!</v>
      </c>
      <c r="R3" s="121" t="str">
        <f>SUMIFS('7.Doanh thu'!$F:$F,'7.Doanh thu'!$D:$D,$D3,#REF!,R$1)</f>
        <v>#VALUE!</v>
      </c>
    </row>
    <row r="4">
      <c r="A4" s="121"/>
      <c r="B4" s="57" t="s">
        <v>61</v>
      </c>
      <c r="C4" s="57" t="s">
        <v>196</v>
      </c>
      <c r="D4" s="57" t="s">
        <v>61</v>
      </c>
      <c r="E4" s="82">
        <f>59986000*1.08</f>
        <v>64784880</v>
      </c>
      <c r="F4" s="164" t="str">
        <f t="shared" si="2"/>
        <v>#VALUE!</v>
      </c>
      <c r="G4" s="121" t="str">
        <f>SUMIFS('7.Doanh thu'!$F:$F,'7.Doanh thu'!$D:$D,$D4,#REF!,G$1)</f>
        <v>#VALUE!</v>
      </c>
      <c r="H4" s="121" t="str">
        <f>SUMIFS('7.Doanh thu'!$F:$F,'7.Doanh thu'!$D:$D,$D4,#REF!,H$1)</f>
        <v>#VALUE!</v>
      </c>
      <c r="I4" s="121" t="str">
        <f>SUMIFS('7.Doanh thu'!$F:$F,'7.Doanh thu'!$D:$D,$D4,#REF!,I$1)</f>
        <v>#VALUE!</v>
      </c>
      <c r="J4" s="121" t="str">
        <f>SUMIFS('7.Doanh thu'!$F:$F,'7.Doanh thu'!$D:$D,$D4,#REF!,J$1)</f>
        <v>#VALUE!</v>
      </c>
      <c r="K4" s="121" t="str">
        <f>SUMIFS('7.Doanh thu'!$F:$F,'7.Doanh thu'!$D:$D,$D4,#REF!,K$1)</f>
        <v>#VALUE!</v>
      </c>
      <c r="L4" s="121" t="str">
        <f>SUMIFS('7.Doanh thu'!$F:$F,'7.Doanh thu'!$D:$D,$D4,#REF!,L$1)</f>
        <v>#VALUE!</v>
      </c>
      <c r="M4" s="81" t="str">
        <f>SUMIFS('7.Doanh thu'!$F:$F,'7.Doanh thu'!$D:$D,$D4,#REF!,M$1)</f>
        <v>#VALUE!</v>
      </c>
      <c r="N4" s="121" t="str">
        <f>SUMIFS('7.Doanh thu'!$F:$F,'7.Doanh thu'!$D:$D,$D4,#REF!,N$1)</f>
        <v>#VALUE!</v>
      </c>
      <c r="O4" s="121" t="str">
        <f>SUMIFS('7.Doanh thu'!$F:$F,'7.Doanh thu'!$D:$D,$D4,#REF!,O$1)</f>
        <v>#VALUE!</v>
      </c>
      <c r="P4" s="121" t="str">
        <f>SUMIFS('7.Doanh thu'!$F:$F,'7.Doanh thu'!$D:$D,$D4,#REF!,P$1)</f>
        <v>#VALUE!</v>
      </c>
      <c r="Q4" s="121" t="str">
        <f>SUMIFS('7.Doanh thu'!$F:$F,'7.Doanh thu'!$D:$D,$D4,#REF!,Q$1)</f>
        <v>#VALUE!</v>
      </c>
      <c r="R4" s="121" t="str">
        <f>SUMIFS('7.Doanh thu'!$F:$F,'7.Doanh thu'!$D:$D,$D4,#REF!,R$1)</f>
        <v>#VALUE!</v>
      </c>
    </row>
    <row r="5">
      <c r="A5" s="121"/>
      <c r="B5" s="57" t="s">
        <v>82</v>
      </c>
      <c r="C5" s="57" t="s">
        <v>204</v>
      </c>
      <c r="D5" s="57" t="s">
        <v>82</v>
      </c>
      <c r="E5" s="82">
        <f>986000*1.08</f>
        <v>1064880</v>
      </c>
      <c r="F5" s="164" t="str">
        <f t="shared" si="2"/>
        <v>#VALUE!</v>
      </c>
      <c r="G5" s="121" t="str">
        <f>SUMIFS('7.Doanh thu'!$F:$F,'7.Doanh thu'!$D:$D,$D5,#REF!,G$1)</f>
        <v>#VALUE!</v>
      </c>
      <c r="H5" s="121" t="str">
        <f>SUMIFS('7.Doanh thu'!$F:$F,'7.Doanh thu'!$D:$D,$D5,#REF!,H$1)</f>
        <v>#VALUE!</v>
      </c>
      <c r="I5" s="121" t="str">
        <f>SUMIFS('7.Doanh thu'!$F:$F,'7.Doanh thu'!$D:$D,$D5,#REF!,I$1)</f>
        <v>#VALUE!</v>
      </c>
      <c r="J5" s="121" t="str">
        <f>SUMIFS('7.Doanh thu'!$F:$F,'7.Doanh thu'!$D:$D,$D5,#REF!,J$1)</f>
        <v>#VALUE!</v>
      </c>
      <c r="K5" s="121" t="str">
        <f>SUMIFS('7.Doanh thu'!$F:$F,'7.Doanh thu'!$D:$D,$D5,#REF!,K$1)</f>
        <v>#VALUE!</v>
      </c>
      <c r="L5" s="121" t="str">
        <f>SUMIFS('7.Doanh thu'!$F:$F,'7.Doanh thu'!$D:$D,$D5,#REF!,L$1)</f>
        <v>#VALUE!</v>
      </c>
      <c r="M5" s="81" t="str">
        <f>SUMIFS('7.Doanh thu'!$F:$F,'7.Doanh thu'!$D:$D,$D5,#REF!,M$1)</f>
        <v>#VALUE!</v>
      </c>
      <c r="N5" s="121" t="str">
        <f>SUMIFS('7.Doanh thu'!$F:$F,'7.Doanh thu'!$D:$D,$D5,#REF!,N$1)</f>
        <v>#VALUE!</v>
      </c>
      <c r="O5" s="121" t="str">
        <f>SUMIFS('7.Doanh thu'!$F:$F,'7.Doanh thu'!$D:$D,$D5,#REF!,O$1)</f>
        <v>#VALUE!</v>
      </c>
      <c r="P5" s="121" t="str">
        <f>SUMIFS('7.Doanh thu'!$F:$F,'7.Doanh thu'!$D:$D,$D5,#REF!,P$1)</f>
        <v>#VALUE!</v>
      </c>
      <c r="Q5" s="121" t="str">
        <f>SUMIFS('7.Doanh thu'!$F:$F,'7.Doanh thu'!$D:$D,$D5,#REF!,Q$1)</f>
        <v>#VALUE!</v>
      </c>
      <c r="R5" s="121" t="str">
        <f>SUMIFS('7.Doanh thu'!$F:$F,'7.Doanh thu'!$D:$D,$D5,#REF!,R$1)</f>
        <v>#VALUE!</v>
      </c>
    </row>
    <row r="6">
      <c r="A6" s="121"/>
      <c r="B6" s="57" t="s">
        <v>126</v>
      </c>
      <c r="C6" s="57" t="s">
        <v>208</v>
      </c>
      <c r="D6" s="57" t="s">
        <v>126</v>
      </c>
      <c r="E6" s="82">
        <f>188986000*1.08</f>
        <v>204104880</v>
      </c>
      <c r="F6" s="164" t="str">
        <f t="shared" si="2"/>
        <v>#VALUE!</v>
      </c>
      <c r="G6" s="121" t="str">
        <f>SUMIFS('7.Doanh thu'!$F:$F,'7.Doanh thu'!$D:$D,$D6,#REF!,G$1)</f>
        <v>#VALUE!</v>
      </c>
      <c r="H6" s="121" t="str">
        <f>SUMIFS('7.Doanh thu'!$F:$F,'7.Doanh thu'!$D:$D,$D6,#REF!,H$1)</f>
        <v>#VALUE!</v>
      </c>
      <c r="I6" s="121" t="str">
        <f>SUMIFS('7.Doanh thu'!$F:$F,'7.Doanh thu'!$D:$D,$D6,#REF!,I$1)</f>
        <v>#VALUE!</v>
      </c>
      <c r="J6" s="121" t="str">
        <f>SUMIFS('7.Doanh thu'!$F:$F,'7.Doanh thu'!$D:$D,$D6,#REF!,J$1)</f>
        <v>#VALUE!</v>
      </c>
      <c r="K6" s="121" t="str">
        <f>SUMIFS('7.Doanh thu'!$F:$F,'7.Doanh thu'!$D:$D,$D6,#REF!,K$1)</f>
        <v>#VALUE!</v>
      </c>
      <c r="L6" s="121" t="str">
        <f>SUMIFS('7.Doanh thu'!$F:$F,'7.Doanh thu'!$D:$D,$D6,#REF!,L$1)</f>
        <v>#VALUE!</v>
      </c>
      <c r="M6" s="81" t="str">
        <f>SUMIFS('7.Doanh thu'!$F:$F,'7.Doanh thu'!$D:$D,$D6,#REF!,M$1)</f>
        <v>#VALUE!</v>
      </c>
      <c r="N6" s="121" t="str">
        <f>SUMIFS('7.Doanh thu'!$F:$F,'7.Doanh thu'!$D:$D,$D6,#REF!,N$1)</f>
        <v>#VALUE!</v>
      </c>
      <c r="O6" s="121" t="str">
        <f>SUMIFS('7.Doanh thu'!$F:$F,'7.Doanh thu'!$D:$D,$D6,#REF!,O$1)</f>
        <v>#VALUE!</v>
      </c>
      <c r="P6" s="121" t="str">
        <f>SUMIFS('7.Doanh thu'!$F:$F,'7.Doanh thu'!$D:$D,$D6,#REF!,P$1)</f>
        <v>#VALUE!</v>
      </c>
      <c r="Q6" s="121" t="str">
        <f>SUMIFS('7.Doanh thu'!$F:$F,'7.Doanh thu'!$D:$D,$D6,#REF!,Q$1)</f>
        <v>#VALUE!</v>
      </c>
      <c r="R6" s="121" t="str">
        <f>SUMIFS('7.Doanh thu'!$F:$F,'7.Doanh thu'!$D:$D,$D6,#REF!,R$1)</f>
        <v>#VALUE!</v>
      </c>
    </row>
    <row r="7">
      <c r="A7" s="121"/>
      <c r="B7" s="121"/>
      <c r="C7" s="57" t="s">
        <v>213</v>
      </c>
      <c r="D7" s="57" t="s">
        <v>214</v>
      </c>
      <c r="E7" s="82">
        <v>9.6986E7</v>
      </c>
      <c r="F7" s="164" t="str">
        <f t="shared" si="2"/>
        <v>#VALUE!</v>
      </c>
      <c r="G7" s="121" t="str">
        <f>SUMIFS('7.Doanh thu'!$F:$F,'7.Doanh thu'!$D:$D,$D7,#REF!,G$1)</f>
        <v>#VALUE!</v>
      </c>
      <c r="H7" s="121" t="str">
        <f>SUMIFS('7.Doanh thu'!$F:$F,'7.Doanh thu'!$D:$D,$D7,#REF!,H$1)</f>
        <v>#VALUE!</v>
      </c>
      <c r="I7" s="121" t="str">
        <f>SUMIFS('7.Doanh thu'!$F:$F,'7.Doanh thu'!$D:$D,$D7,#REF!,I$1)</f>
        <v>#VALUE!</v>
      </c>
      <c r="J7" s="121" t="str">
        <f>SUMIFS('7.Doanh thu'!$F:$F,'7.Doanh thu'!$D:$D,$D7,#REF!,J$1)</f>
        <v>#VALUE!</v>
      </c>
      <c r="K7" s="121" t="str">
        <f>SUMIFS('7.Doanh thu'!$F:$F,'7.Doanh thu'!$D:$D,$D7,#REF!,K$1)</f>
        <v>#VALUE!</v>
      </c>
      <c r="L7" s="121" t="str">
        <f>SUMIFS('7.Doanh thu'!$F:$F,'7.Doanh thu'!$D:$D,$D7,#REF!,L$1)</f>
        <v>#VALUE!</v>
      </c>
      <c r="M7" s="81" t="str">
        <f>SUMIFS('7.Doanh thu'!$F:$F,'7.Doanh thu'!$D:$D,$D7,#REF!,M$1)</f>
        <v>#VALUE!</v>
      </c>
      <c r="N7" s="121" t="str">
        <f>SUMIFS('7.Doanh thu'!$F:$F,'7.Doanh thu'!$D:$D,$D7,#REF!,N$1)</f>
        <v>#VALUE!</v>
      </c>
      <c r="O7" s="121" t="str">
        <f>SUMIFS('7.Doanh thu'!$F:$F,'7.Doanh thu'!$D:$D,$D7,#REF!,O$1)</f>
        <v>#VALUE!</v>
      </c>
      <c r="P7" s="121" t="str">
        <f>SUMIFS('7.Doanh thu'!$F:$F,'7.Doanh thu'!$D:$D,$D7,#REF!,P$1)</f>
        <v>#VALUE!</v>
      </c>
      <c r="Q7" s="121" t="str">
        <f>SUMIFS('7.Doanh thu'!$F:$F,'7.Doanh thu'!$D:$D,$D7,#REF!,Q$1)</f>
        <v>#VALUE!</v>
      </c>
      <c r="R7" s="121" t="str">
        <f>SUMIFS('7.Doanh thu'!$F:$F,'7.Doanh thu'!$D:$D,$D7,#REF!,R$1)</f>
        <v>#VALUE!</v>
      </c>
    </row>
    <row r="8">
      <c r="A8" s="121"/>
      <c r="B8" s="121"/>
      <c r="C8" s="57" t="s">
        <v>218</v>
      </c>
      <c r="D8" s="57" t="s">
        <v>219</v>
      </c>
      <c r="E8" s="81"/>
      <c r="F8" s="164" t="str">
        <f t="shared" si="2"/>
        <v>#VALUE!</v>
      </c>
      <c r="G8" s="121" t="str">
        <f>SUMIFS('7.Doanh thu'!$F:$F,'7.Doanh thu'!$D:$D,$D8,#REF!,G$1)</f>
        <v>#VALUE!</v>
      </c>
      <c r="H8" s="121" t="str">
        <f>SUMIFS('7.Doanh thu'!$F:$F,'7.Doanh thu'!$D:$D,$D8,#REF!,H$1)</f>
        <v>#VALUE!</v>
      </c>
      <c r="I8" s="121" t="str">
        <f>SUMIFS('7.Doanh thu'!$F:$F,'7.Doanh thu'!$D:$D,$D8,#REF!,I$1)</f>
        <v>#VALUE!</v>
      </c>
      <c r="J8" s="121" t="str">
        <f>SUMIFS('7.Doanh thu'!$F:$F,'7.Doanh thu'!$D:$D,$D8,#REF!,J$1)</f>
        <v>#VALUE!</v>
      </c>
      <c r="K8" s="121" t="str">
        <f>SUMIFS('7.Doanh thu'!$F:$F,'7.Doanh thu'!$D:$D,$D8,#REF!,K$1)</f>
        <v>#VALUE!</v>
      </c>
      <c r="L8" s="121" t="str">
        <f>SUMIFS('7.Doanh thu'!$F:$F,'7.Doanh thu'!$D:$D,$D8,#REF!,L$1)</f>
        <v>#VALUE!</v>
      </c>
      <c r="M8" s="81" t="str">
        <f>SUMIFS('7.Doanh thu'!$F:$F,'7.Doanh thu'!$D:$D,$D8,#REF!,M$1)</f>
        <v>#VALUE!</v>
      </c>
      <c r="N8" s="121" t="str">
        <f>SUMIFS('7.Doanh thu'!$F:$F,'7.Doanh thu'!$D:$D,$D8,#REF!,N$1)</f>
        <v>#VALUE!</v>
      </c>
      <c r="O8" s="121" t="str">
        <f>SUMIFS('7.Doanh thu'!$F:$F,'7.Doanh thu'!$D:$D,$D8,#REF!,O$1)</f>
        <v>#VALUE!</v>
      </c>
      <c r="P8" s="121" t="str">
        <f>SUMIFS('7.Doanh thu'!$F:$F,'7.Doanh thu'!$D:$D,$D8,#REF!,P$1)</f>
        <v>#VALUE!</v>
      </c>
      <c r="Q8" s="121" t="str">
        <f>SUMIFS('7.Doanh thu'!$F:$F,'7.Doanh thu'!$D:$D,$D8,#REF!,Q$1)</f>
        <v>#VALUE!</v>
      </c>
      <c r="R8" s="121" t="str">
        <f>SUMIFS('7.Doanh thu'!$F:$F,'7.Doanh thu'!$D:$D,$D8,#REF!,R$1)</f>
        <v>#VALUE!</v>
      </c>
    </row>
    <row r="9">
      <c r="A9" s="121"/>
      <c r="B9" s="121"/>
      <c r="C9" s="57" t="s">
        <v>225</v>
      </c>
      <c r="D9" s="57" t="s">
        <v>77</v>
      </c>
      <c r="E9" s="82">
        <v>9.3733E7</v>
      </c>
      <c r="F9" s="164" t="str">
        <f t="shared" si="2"/>
        <v>#VALUE!</v>
      </c>
      <c r="G9" s="121" t="str">
        <f>SUMIFS('7.Doanh thu'!$F:$F,'7.Doanh thu'!$D:$D,$D9,#REF!,G$1)</f>
        <v>#VALUE!</v>
      </c>
      <c r="H9" s="121" t="str">
        <f>SUMIFS('7.Doanh thu'!$F:$F,'7.Doanh thu'!$D:$D,$D9,#REF!,H$1)</f>
        <v>#VALUE!</v>
      </c>
      <c r="I9" s="121" t="str">
        <f>SUMIFS('7.Doanh thu'!$F:$F,'7.Doanh thu'!$D:$D,$D9,#REF!,I$1)</f>
        <v>#VALUE!</v>
      </c>
      <c r="J9" s="121" t="str">
        <f>SUMIFS('7.Doanh thu'!$F:$F,'7.Doanh thu'!$D:$D,$D9,#REF!,J$1)</f>
        <v>#VALUE!</v>
      </c>
      <c r="K9" s="121" t="str">
        <f>SUMIFS('7.Doanh thu'!$F:$F,'7.Doanh thu'!$D:$D,$D9,#REF!,K$1)</f>
        <v>#VALUE!</v>
      </c>
      <c r="L9" s="121" t="str">
        <f>SUMIFS('7.Doanh thu'!$F:$F,'7.Doanh thu'!$D:$D,$D9,#REF!,L$1)</f>
        <v>#VALUE!</v>
      </c>
      <c r="M9" s="81" t="str">
        <f>SUMIFS('7.Doanh thu'!$F:$F,'7.Doanh thu'!$D:$D,$D9,#REF!,M$1)</f>
        <v>#VALUE!</v>
      </c>
      <c r="N9" s="121" t="str">
        <f>SUMIFS('7.Doanh thu'!$F:$F,'7.Doanh thu'!$D:$D,$D9,#REF!,N$1)</f>
        <v>#VALUE!</v>
      </c>
      <c r="O9" s="121" t="str">
        <f>SUMIFS('7.Doanh thu'!$F:$F,'7.Doanh thu'!$D:$D,$D9,#REF!,O$1)</f>
        <v>#VALUE!</v>
      </c>
      <c r="P9" s="121" t="str">
        <f>SUMIFS('7.Doanh thu'!$F:$F,'7.Doanh thu'!$D:$D,$D9,#REF!,P$1)</f>
        <v>#VALUE!</v>
      </c>
      <c r="Q9" s="121" t="str">
        <f>SUMIFS('7.Doanh thu'!$F:$F,'7.Doanh thu'!$D:$D,$D9,#REF!,Q$1)</f>
        <v>#VALUE!</v>
      </c>
      <c r="R9" s="121" t="str">
        <f>SUMIFS('7.Doanh thu'!$F:$F,'7.Doanh thu'!$D:$D,$D9,#REF!,R$1)</f>
        <v>#VALUE!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4.13"/>
    <col customWidth="1" min="3" max="3" width="48.38"/>
    <col customWidth="1" min="4" max="4" width="8.13"/>
    <col customWidth="1" min="5" max="5" width="7.38"/>
  </cols>
  <sheetData>
    <row r="1">
      <c r="A1" s="167" t="s">
        <v>234</v>
      </c>
      <c r="B1" s="167" t="s">
        <v>237</v>
      </c>
      <c r="C1" s="167" t="s">
        <v>27</v>
      </c>
      <c r="D1" s="168" t="s">
        <v>238</v>
      </c>
      <c r="E1" s="167" t="s">
        <v>239</v>
      </c>
      <c r="F1" s="167" t="s">
        <v>240</v>
      </c>
      <c r="G1" s="167" t="s">
        <v>242</v>
      </c>
      <c r="H1" s="167" t="s">
        <v>243</v>
      </c>
      <c r="I1" s="167" t="s">
        <v>244</v>
      </c>
    </row>
    <row r="2">
      <c r="A2" s="169"/>
      <c r="B2" s="170"/>
      <c r="C2" s="171"/>
      <c r="D2" s="172"/>
      <c r="E2" s="28"/>
      <c r="F2" s="28"/>
      <c r="G2" s="28"/>
      <c r="H2" s="28"/>
      <c r="I2" s="28"/>
    </row>
    <row r="3">
      <c r="A3" s="169" t="s">
        <v>247</v>
      </c>
      <c r="B3" s="170" t="s">
        <v>145</v>
      </c>
      <c r="C3" s="171"/>
      <c r="D3" s="172"/>
      <c r="E3" s="28"/>
      <c r="F3" s="28"/>
      <c r="G3" s="28"/>
      <c r="H3" s="28"/>
      <c r="I3" s="28"/>
    </row>
    <row r="4">
      <c r="A4" s="169" t="s">
        <v>249</v>
      </c>
      <c r="B4" s="170" t="s">
        <v>147</v>
      </c>
      <c r="C4" s="171"/>
      <c r="D4" s="172"/>
      <c r="E4" s="28"/>
      <c r="F4" s="28"/>
      <c r="G4" s="28"/>
      <c r="H4" s="28"/>
      <c r="I4" s="28"/>
    </row>
    <row r="5">
      <c r="A5" s="169" t="s">
        <v>250</v>
      </c>
      <c r="B5" s="170" t="s">
        <v>149</v>
      </c>
      <c r="C5" s="171"/>
      <c r="D5" s="172"/>
      <c r="E5" s="28"/>
      <c r="F5" s="28"/>
      <c r="G5" s="28"/>
      <c r="H5" s="28"/>
      <c r="I5" s="28"/>
    </row>
    <row r="6">
      <c r="A6" s="169" t="s">
        <v>252</v>
      </c>
      <c r="B6" s="170" t="s">
        <v>151</v>
      </c>
      <c r="C6" s="171"/>
      <c r="D6" s="172"/>
      <c r="E6" s="28"/>
      <c r="F6" s="28"/>
      <c r="G6" s="28"/>
      <c r="H6" s="28"/>
      <c r="I6" s="28"/>
    </row>
    <row r="7">
      <c r="A7" s="169" t="s">
        <v>254</v>
      </c>
      <c r="B7" s="173" t="s">
        <v>155</v>
      </c>
      <c r="C7" s="171"/>
      <c r="D7" s="172"/>
      <c r="E7" s="28"/>
      <c r="F7" s="28"/>
      <c r="G7" s="28"/>
      <c r="H7" s="28"/>
      <c r="I7" s="28"/>
    </row>
    <row r="8">
      <c r="A8" s="169" t="s">
        <v>256</v>
      </c>
      <c r="B8" s="173" t="s">
        <v>165</v>
      </c>
      <c r="C8" s="171"/>
      <c r="D8" s="172"/>
      <c r="E8" s="28"/>
      <c r="F8" s="28"/>
      <c r="G8" s="28"/>
      <c r="H8" s="28"/>
      <c r="I8" s="28"/>
    </row>
    <row r="9">
      <c r="A9" s="169" t="s">
        <v>257</v>
      </c>
      <c r="B9" s="170" t="s">
        <v>168</v>
      </c>
      <c r="C9" s="171"/>
      <c r="D9" s="172"/>
      <c r="E9" s="28"/>
      <c r="F9" s="28"/>
      <c r="G9" s="28"/>
      <c r="H9" s="28"/>
      <c r="I9" s="28"/>
    </row>
    <row r="10">
      <c r="A10" s="169" t="s">
        <v>259</v>
      </c>
      <c r="B10" s="170" t="s">
        <v>169</v>
      </c>
      <c r="C10" s="171"/>
      <c r="D10" s="172"/>
      <c r="E10" s="28"/>
      <c r="F10" s="28"/>
      <c r="G10" s="28"/>
      <c r="H10" s="28"/>
      <c r="I10" s="28"/>
    </row>
    <row r="11">
      <c r="A11" s="169" t="s">
        <v>261</v>
      </c>
      <c r="B11" s="170" t="s">
        <v>171</v>
      </c>
      <c r="C11" s="171"/>
      <c r="D11" s="172"/>
      <c r="E11" s="28"/>
      <c r="F11" s="28"/>
      <c r="G11" s="28"/>
      <c r="H11" s="28"/>
      <c r="I11" s="28"/>
    </row>
    <row r="12">
      <c r="A12" s="169" t="s">
        <v>263</v>
      </c>
      <c r="B12" s="170" t="s">
        <v>173</v>
      </c>
      <c r="C12" s="171"/>
      <c r="D12" s="172"/>
      <c r="E12" s="28"/>
      <c r="F12" s="28"/>
      <c r="G12" s="28"/>
      <c r="H12" s="28"/>
      <c r="I12" s="28"/>
    </row>
    <row r="13">
      <c r="A13" s="169" t="s">
        <v>264</v>
      </c>
      <c r="B13" s="170" t="s">
        <v>175</v>
      </c>
      <c r="C13" s="171"/>
      <c r="D13" s="172"/>
      <c r="E13" s="28"/>
      <c r="F13" s="28"/>
      <c r="G13" s="28"/>
      <c r="H13" s="28"/>
      <c r="I13" s="28"/>
    </row>
    <row r="14">
      <c r="A14" s="169" t="s">
        <v>265</v>
      </c>
      <c r="B14" s="170" t="s">
        <v>177</v>
      </c>
      <c r="C14" s="171"/>
      <c r="D14" s="172"/>
      <c r="E14" s="28"/>
      <c r="F14" s="28"/>
      <c r="G14" s="28"/>
      <c r="H14" s="28"/>
      <c r="I14" s="28"/>
    </row>
    <row r="15">
      <c r="A15" s="169" t="s">
        <v>266</v>
      </c>
      <c r="B15" s="181" t="s">
        <v>178</v>
      </c>
      <c r="C15" s="171"/>
      <c r="D15" s="172"/>
      <c r="E15" s="28"/>
      <c r="F15" s="28"/>
      <c r="G15" s="28"/>
      <c r="H15" s="28"/>
      <c r="I15" s="28"/>
    </row>
    <row r="16">
      <c r="A16" s="169" t="s">
        <v>270</v>
      </c>
      <c r="B16" s="181" t="s">
        <v>179</v>
      </c>
      <c r="C16" s="171"/>
      <c r="D16" s="172"/>
      <c r="E16" s="28"/>
      <c r="F16" s="28"/>
      <c r="G16" s="28"/>
      <c r="H16" s="28"/>
      <c r="I16" s="28"/>
    </row>
    <row r="17">
      <c r="A17" s="169" t="s">
        <v>272</v>
      </c>
      <c r="B17" s="181" t="s">
        <v>180</v>
      </c>
      <c r="C17" s="171"/>
      <c r="D17" s="172"/>
      <c r="E17" s="28"/>
      <c r="F17" s="28"/>
      <c r="G17" s="28"/>
      <c r="H17" s="28"/>
      <c r="I17" s="28"/>
    </row>
    <row r="18">
      <c r="A18" s="169" t="s">
        <v>274</v>
      </c>
      <c r="B18" s="181" t="s">
        <v>181</v>
      </c>
      <c r="C18" s="171"/>
      <c r="D18" s="172"/>
      <c r="E18" s="28"/>
      <c r="F18" s="28"/>
      <c r="G18" s="28"/>
      <c r="H18" s="28"/>
      <c r="I18" s="28"/>
    </row>
    <row r="19">
      <c r="A19" s="169" t="s">
        <v>276</v>
      </c>
      <c r="B19" s="181" t="s">
        <v>182</v>
      </c>
      <c r="C19" s="171"/>
      <c r="D19" s="172"/>
      <c r="E19" s="28"/>
      <c r="F19" s="28"/>
      <c r="G19" s="28"/>
      <c r="H19" s="28"/>
      <c r="I19" s="28"/>
    </row>
    <row r="20">
      <c r="A20" s="169" t="s">
        <v>279</v>
      </c>
      <c r="B20" s="67" t="s">
        <v>186</v>
      </c>
      <c r="C20" s="171"/>
      <c r="D20" s="172"/>
      <c r="E20" s="28"/>
      <c r="F20" s="28"/>
      <c r="G20" s="28"/>
      <c r="H20" s="28"/>
      <c r="I20" s="28"/>
    </row>
    <row r="21">
      <c r="A21" s="169" t="s">
        <v>280</v>
      </c>
      <c r="B21" s="67" t="s">
        <v>187</v>
      </c>
      <c r="C21" s="171"/>
      <c r="D21" s="172"/>
      <c r="E21" s="28"/>
      <c r="F21" s="28"/>
      <c r="G21" s="28"/>
      <c r="H21" s="28"/>
      <c r="I21" s="28"/>
    </row>
    <row r="22">
      <c r="A22" s="169" t="s">
        <v>284</v>
      </c>
      <c r="B22" s="181" t="s">
        <v>190</v>
      </c>
      <c r="C22" s="171"/>
      <c r="D22" s="172"/>
      <c r="E22" s="28"/>
      <c r="F22" s="28"/>
      <c r="G22" s="28"/>
      <c r="H22" s="28"/>
      <c r="I22" s="28"/>
    </row>
    <row r="23">
      <c r="A23" s="169" t="s">
        <v>287</v>
      </c>
      <c r="B23" s="181" t="s">
        <v>191</v>
      </c>
      <c r="C23" s="171"/>
      <c r="D23" s="172"/>
      <c r="E23" s="28"/>
      <c r="F23" s="28"/>
      <c r="G23" s="28"/>
      <c r="H23" s="28"/>
      <c r="I23" s="28"/>
    </row>
    <row r="24">
      <c r="A24" s="169" t="s">
        <v>288</v>
      </c>
      <c r="B24" s="181" t="s">
        <v>193</v>
      </c>
      <c r="C24" s="171"/>
      <c r="D24" s="172"/>
      <c r="E24" s="28"/>
      <c r="F24" s="28"/>
      <c r="G24" s="28"/>
      <c r="H24" s="28"/>
      <c r="I24" s="28"/>
    </row>
    <row r="25">
      <c r="A25" s="169" t="s">
        <v>290</v>
      </c>
      <c r="B25" s="192" t="s">
        <v>194</v>
      </c>
      <c r="C25" s="171"/>
      <c r="D25" s="172"/>
      <c r="E25" s="28"/>
      <c r="F25" s="28"/>
      <c r="G25" s="28"/>
      <c r="H25" s="28"/>
      <c r="I25" s="28"/>
    </row>
    <row r="26">
      <c r="A26" s="169" t="s">
        <v>293</v>
      </c>
      <c r="B26" s="192" t="s">
        <v>197</v>
      </c>
      <c r="C26" s="171" t="s">
        <v>195</v>
      </c>
      <c r="D26" s="172"/>
      <c r="E26" s="28"/>
      <c r="F26" s="28"/>
      <c r="G26" s="28"/>
      <c r="H26" s="28"/>
      <c r="I26" s="28"/>
    </row>
    <row r="27">
      <c r="A27" s="169" t="s">
        <v>294</v>
      </c>
      <c r="B27" s="181" t="s">
        <v>199</v>
      </c>
      <c r="C27" s="171" t="s">
        <v>198</v>
      </c>
      <c r="D27" s="172"/>
      <c r="E27" s="28"/>
      <c r="F27" s="28"/>
      <c r="G27" s="28"/>
      <c r="H27" s="28"/>
      <c r="I27" s="28"/>
    </row>
    <row r="28">
      <c r="A28" s="169" t="s">
        <v>296</v>
      </c>
      <c r="B28" s="67" t="s">
        <v>200</v>
      </c>
      <c r="C28" s="171"/>
      <c r="D28" s="172"/>
      <c r="E28" s="28"/>
      <c r="F28" s="28"/>
      <c r="G28" s="28"/>
      <c r="H28" s="28"/>
      <c r="I28" s="28"/>
    </row>
    <row r="29">
      <c r="A29" s="169" t="s">
        <v>297</v>
      </c>
      <c r="B29" s="192" t="s">
        <v>203</v>
      </c>
      <c r="C29" s="171"/>
      <c r="D29" s="172"/>
      <c r="E29" s="28"/>
      <c r="F29" s="28"/>
      <c r="G29" s="28"/>
      <c r="H29" s="28"/>
      <c r="I29" s="28"/>
    </row>
    <row r="30">
      <c r="A30" s="169" t="s">
        <v>298</v>
      </c>
      <c r="B30" s="67" t="s">
        <v>299</v>
      </c>
      <c r="C30" s="171" t="s">
        <v>205</v>
      </c>
      <c r="D30" s="172"/>
      <c r="E30" s="28"/>
      <c r="F30" s="28"/>
      <c r="G30" s="28"/>
      <c r="H30" s="28"/>
      <c r="I30" s="28"/>
    </row>
    <row r="31">
      <c r="A31" s="169" t="s">
        <v>303</v>
      </c>
      <c r="B31" s="192" t="s">
        <v>207</v>
      </c>
      <c r="C31" s="171"/>
      <c r="D31" s="172"/>
      <c r="E31" s="28"/>
      <c r="F31" s="28"/>
      <c r="G31" s="28"/>
      <c r="H31" s="28"/>
      <c r="I31" s="28"/>
    </row>
    <row r="32">
      <c r="A32" s="169" t="s">
        <v>304</v>
      </c>
      <c r="B32" s="192" t="s">
        <v>203</v>
      </c>
      <c r="C32" s="171"/>
      <c r="D32" s="172"/>
      <c r="E32" s="28"/>
      <c r="F32" s="28"/>
      <c r="G32" s="28"/>
      <c r="H32" s="28"/>
      <c r="I32" s="28"/>
    </row>
    <row r="33">
      <c r="A33" s="169" t="s">
        <v>306</v>
      </c>
      <c r="B33" s="192" t="s">
        <v>209</v>
      </c>
      <c r="C33" s="171"/>
      <c r="D33" s="172"/>
      <c r="E33" s="28"/>
      <c r="F33" s="28"/>
      <c r="G33" s="28"/>
      <c r="H33" s="28"/>
      <c r="I33" s="28"/>
    </row>
    <row r="34">
      <c r="A34" s="169" t="s">
        <v>310</v>
      </c>
      <c r="B34" s="200"/>
      <c r="C34" s="171"/>
      <c r="D34" s="172"/>
      <c r="E34" s="28"/>
      <c r="F34" s="28"/>
      <c r="G34" s="28"/>
      <c r="H34" s="28"/>
      <c r="I34" s="28"/>
    </row>
    <row r="35">
      <c r="A35" s="169" t="s">
        <v>312</v>
      </c>
      <c r="B35" s="200"/>
      <c r="C35" s="171"/>
      <c r="D35" s="172"/>
      <c r="E35" s="28"/>
      <c r="F35" s="28"/>
      <c r="G35" s="28"/>
      <c r="H35" s="28"/>
      <c r="I35" s="28"/>
    </row>
    <row r="36">
      <c r="A36" s="169" t="s">
        <v>314</v>
      </c>
      <c r="B36" s="200"/>
      <c r="C36" s="171"/>
      <c r="D36" s="172"/>
      <c r="E36" s="28"/>
      <c r="F36" s="28"/>
      <c r="G36" s="28"/>
      <c r="H36" s="28"/>
      <c r="I36" s="28"/>
    </row>
    <row r="37">
      <c r="A37" s="169" t="s">
        <v>315</v>
      </c>
      <c r="B37" s="200"/>
      <c r="C37" s="171"/>
      <c r="D37" s="172"/>
      <c r="E37" s="28"/>
      <c r="F37" s="28"/>
      <c r="G37" s="28"/>
      <c r="H37" s="28"/>
      <c r="I37" s="28"/>
    </row>
    <row r="38">
      <c r="A38" s="169" t="s">
        <v>316</v>
      </c>
      <c r="B38" s="200"/>
      <c r="C38" s="171"/>
      <c r="D38" s="172"/>
      <c r="E38" s="28"/>
      <c r="F38" s="28"/>
      <c r="G38" s="28"/>
      <c r="H38" s="28"/>
      <c r="I38" s="28"/>
    </row>
    <row r="39">
      <c r="A39" s="169" t="s">
        <v>318</v>
      </c>
      <c r="B39" s="200"/>
      <c r="C39" s="171"/>
      <c r="D39" s="172"/>
      <c r="E39" s="28"/>
      <c r="F39" s="28"/>
      <c r="G39" s="28"/>
      <c r="H39" s="28"/>
      <c r="I39" s="28"/>
    </row>
    <row r="40">
      <c r="A40" s="169" t="s">
        <v>319</v>
      </c>
      <c r="B40" s="200"/>
      <c r="C40" s="171"/>
      <c r="D40" s="172"/>
      <c r="E40" s="28"/>
      <c r="F40" s="28"/>
      <c r="G40" s="28"/>
      <c r="H40" s="28"/>
      <c r="I40" s="28"/>
    </row>
    <row r="41">
      <c r="A41" s="169" t="s">
        <v>323</v>
      </c>
      <c r="B41" s="200"/>
      <c r="C41" s="171"/>
      <c r="D41" s="172"/>
      <c r="E41" s="28"/>
      <c r="F41" s="28"/>
      <c r="G41" s="28"/>
      <c r="H41" s="28"/>
      <c r="I41" s="28"/>
    </row>
    <row r="42">
      <c r="A42" s="169" t="s">
        <v>326</v>
      </c>
      <c r="B42" s="200"/>
      <c r="C42" s="171"/>
      <c r="D42" s="172"/>
      <c r="E42" s="28"/>
      <c r="F42" s="28"/>
      <c r="G42" s="28"/>
      <c r="H42" s="28"/>
      <c r="I42" s="28"/>
    </row>
    <row r="43">
      <c r="A43" s="169" t="s">
        <v>327</v>
      </c>
      <c r="B43" s="200"/>
      <c r="C43" s="171"/>
      <c r="D43" s="172"/>
      <c r="E43" s="28"/>
      <c r="F43" s="28"/>
      <c r="G43" s="28"/>
      <c r="H43" s="28"/>
      <c r="I43" s="28"/>
    </row>
    <row r="44">
      <c r="A44" s="169" t="s">
        <v>331</v>
      </c>
      <c r="B44" s="200"/>
      <c r="C44" s="171"/>
      <c r="D44" s="172"/>
      <c r="E44" s="28"/>
      <c r="F44" s="28"/>
      <c r="G44" s="28"/>
      <c r="H44" s="28"/>
      <c r="I44" s="28"/>
    </row>
    <row r="45">
      <c r="A45" s="169" t="s">
        <v>334</v>
      </c>
      <c r="B45" s="200"/>
      <c r="C45" s="171"/>
      <c r="D45" s="172"/>
      <c r="E45" s="28"/>
      <c r="F45" s="28"/>
      <c r="G45" s="28"/>
      <c r="H45" s="28"/>
      <c r="I45" s="28"/>
    </row>
    <row r="46">
      <c r="A46" s="169" t="s">
        <v>336</v>
      </c>
      <c r="B46" s="200"/>
      <c r="C46" s="171"/>
      <c r="D46" s="172"/>
      <c r="E46" s="28"/>
      <c r="F46" s="28"/>
      <c r="G46" s="28"/>
      <c r="H46" s="28"/>
      <c r="I46" s="28"/>
    </row>
    <row r="47">
      <c r="A47" s="169" t="s">
        <v>337</v>
      </c>
      <c r="B47" s="200"/>
      <c r="C47" s="171"/>
      <c r="D47" s="172"/>
      <c r="E47" s="28"/>
      <c r="F47" s="28"/>
      <c r="G47" s="28"/>
      <c r="H47" s="28"/>
      <c r="I47" s="28"/>
    </row>
    <row r="48">
      <c r="A48" s="169" t="s">
        <v>339</v>
      </c>
      <c r="B48" s="200"/>
      <c r="C48" s="171"/>
      <c r="D48" s="172"/>
      <c r="E48" s="28"/>
      <c r="F48" s="28"/>
      <c r="G48" s="28"/>
      <c r="H48" s="28"/>
      <c r="I48" s="28"/>
    </row>
    <row r="49">
      <c r="A49" s="169" t="s">
        <v>341</v>
      </c>
      <c r="B49" s="200"/>
      <c r="C49" s="171"/>
      <c r="D49" s="172"/>
      <c r="E49" s="28"/>
      <c r="F49" s="28"/>
      <c r="G49" s="28"/>
      <c r="H49" s="28"/>
      <c r="I49" s="28"/>
    </row>
    <row r="50">
      <c r="A50" s="169" t="s">
        <v>344</v>
      </c>
      <c r="B50" s="200"/>
      <c r="C50" s="171"/>
      <c r="D50" s="172"/>
      <c r="E50" s="28"/>
      <c r="F50" s="28"/>
      <c r="G50" s="28"/>
      <c r="H50" s="28"/>
      <c r="I50" s="28"/>
    </row>
    <row r="51">
      <c r="A51" s="169" t="s">
        <v>346</v>
      </c>
      <c r="B51" s="200"/>
      <c r="C51" s="171"/>
      <c r="D51" s="172"/>
      <c r="E51" s="28"/>
      <c r="F51" s="28"/>
      <c r="G51" s="28"/>
      <c r="H51" s="28"/>
      <c r="I51" s="28"/>
    </row>
    <row r="52">
      <c r="A52" s="169" t="s">
        <v>347</v>
      </c>
      <c r="B52" s="200"/>
      <c r="C52" s="171"/>
      <c r="D52" s="172"/>
      <c r="E52" s="28"/>
      <c r="F52" s="28"/>
      <c r="G52" s="28"/>
      <c r="H52" s="28"/>
      <c r="I52" s="28"/>
    </row>
    <row r="53">
      <c r="A53" s="169" t="s">
        <v>350</v>
      </c>
      <c r="B53" s="200"/>
      <c r="C53" s="171"/>
      <c r="D53" s="172"/>
      <c r="E53" s="28"/>
      <c r="F53" s="28"/>
      <c r="G53" s="28"/>
      <c r="H53" s="28"/>
      <c r="I53" s="28"/>
    </row>
    <row r="54">
      <c r="A54" s="169" t="s">
        <v>352</v>
      </c>
      <c r="B54" s="200"/>
      <c r="C54" s="171"/>
      <c r="D54" s="172"/>
      <c r="E54" s="28"/>
      <c r="F54" s="28"/>
      <c r="G54" s="28"/>
      <c r="H54" s="28"/>
      <c r="I54" s="28"/>
    </row>
    <row r="55">
      <c r="A55" s="169" t="s">
        <v>353</v>
      </c>
      <c r="B55" s="200"/>
      <c r="C55" s="171"/>
      <c r="D55" s="172"/>
      <c r="E55" s="28"/>
      <c r="F55" s="28"/>
      <c r="G55" s="28"/>
      <c r="H55" s="28"/>
      <c r="I55" s="28"/>
    </row>
    <row r="56">
      <c r="A56" s="169" t="s">
        <v>358</v>
      </c>
      <c r="B56" s="200"/>
      <c r="C56" s="171"/>
      <c r="D56" s="172"/>
      <c r="E56" s="28"/>
      <c r="F56" s="28"/>
      <c r="G56" s="28"/>
      <c r="H56" s="28"/>
      <c r="I56" s="28"/>
    </row>
    <row r="57">
      <c r="A57" s="169" t="s">
        <v>362</v>
      </c>
      <c r="B57" s="200"/>
      <c r="C57" s="171"/>
      <c r="D57" s="172"/>
      <c r="E57" s="28"/>
      <c r="F57" s="28"/>
      <c r="G57" s="28"/>
      <c r="H57" s="28"/>
      <c r="I57" s="28"/>
    </row>
    <row r="58">
      <c r="A58" s="169" t="s">
        <v>364</v>
      </c>
      <c r="B58" s="200"/>
      <c r="C58" s="171"/>
      <c r="D58" s="172"/>
      <c r="E58" s="28"/>
      <c r="F58" s="28"/>
      <c r="G58" s="28"/>
      <c r="H58" s="28"/>
      <c r="I58" s="28"/>
    </row>
    <row r="59">
      <c r="A59" s="169" t="s">
        <v>368</v>
      </c>
      <c r="B59" s="200"/>
      <c r="C59" s="171"/>
      <c r="D59" s="172"/>
      <c r="E59" s="28"/>
      <c r="F59" s="28"/>
      <c r="G59" s="28"/>
      <c r="H59" s="28"/>
      <c r="I59" s="28"/>
    </row>
    <row r="60">
      <c r="A60" s="169" t="s">
        <v>369</v>
      </c>
      <c r="B60" s="200"/>
      <c r="C60" s="171"/>
      <c r="D60" s="172"/>
      <c r="E60" s="28"/>
      <c r="F60" s="28"/>
      <c r="G60" s="28"/>
      <c r="H60" s="28"/>
      <c r="I60" s="28"/>
    </row>
    <row r="61">
      <c r="A61" s="169" t="s">
        <v>370</v>
      </c>
      <c r="B61" s="200"/>
      <c r="C61" s="171"/>
      <c r="D61" s="172"/>
      <c r="E61" s="28"/>
      <c r="F61" s="28"/>
      <c r="G61" s="28"/>
      <c r="H61" s="28"/>
      <c r="I61" s="28"/>
    </row>
    <row r="62">
      <c r="A62" s="169" t="s">
        <v>372</v>
      </c>
      <c r="B62" s="200"/>
      <c r="C62" s="171"/>
      <c r="D62" s="172"/>
      <c r="E62" s="28"/>
      <c r="F62" s="28"/>
      <c r="G62" s="28"/>
      <c r="H62" s="28"/>
      <c r="I62" s="28"/>
    </row>
    <row r="63">
      <c r="A63" s="169" t="s">
        <v>374</v>
      </c>
      <c r="B63" s="200"/>
      <c r="C63" s="171"/>
      <c r="D63" s="172"/>
      <c r="E63" s="28"/>
      <c r="F63" s="28"/>
      <c r="G63" s="28"/>
      <c r="H63" s="28"/>
      <c r="I63" s="28"/>
    </row>
    <row r="64">
      <c r="A64" s="169" t="s">
        <v>376</v>
      </c>
      <c r="B64" s="200"/>
      <c r="C64" s="171"/>
      <c r="D64" s="172"/>
      <c r="E64" s="28"/>
      <c r="F64" s="28"/>
      <c r="G64" s="28"/>
      <c r="H64" s="28"/>
      <c r="I64" s="28"/>
    </row>
    <row r="65">
      <c r="A65" s="169" t="s">
        <v>378</v>
      </c>
      <c r="B65" s="200"/>
      <c r="C65" s="171"/>
      <c r="D65" s="172"/>
      <c r="E65" s="28"/>
      <c r="F65" s="28"/>
      <c r="G65" s="28"/>
      <c r="H65" s="28"/>
      <c r="I65" s="28"/>
    </row>
    <row r="66">
      <c r="A66" s="169" t="s">
        <v>379</v>
      </c>
      <c r="B66" s="200"/>
      <c r="C66" s="171"/>
      <c r="D66" s="172"/>
      <c r="E66" s="28"/>
      <c r="F66" s="28"/>
      <c r="G66" s="28"/>
      <c r="H66" s="28"/>
      <c r="I66" s="28"/>
    </row>
    <row r="67">
      <c r="A67" s="169" t="s">
        <v>380</v>
      </c>
      <c r="B67" s="200"/>
      <c r="C67" s="171"/>
      <c r="D67" s="172"/>
      <c r="E67" s="28"/>
      <c r="F67" s="28"/>
      <c r="G67" s="28"/>
      <c r="H67" s="28"/>
      <c r="I67" s="28"/>
    </row>
    <row r="68">
      <c r="A68" s="169" t="s">
        <v>382</v>
      </c>
      <c r="B68" s="200"/>
      <c r="C68" s="171"/>
      <c r="D68" s="172"/>
      <c r="E68" s="28"/>
      <c r="F68" s="28"/>
      <c r="G68" s="28"/>
      <c r="H68" s="28"/>
      <c r="I68" s="28"/>
    </row>
    <row r="69">
      <c r="A69" s="169" t="s">
        <v>383</v>
      </c>
      <c r="B69" s="200"/>
      <c r="C69" s="171"/>
      <c r="D69" s="172"/>
      <c r="E69" s="28"/>
      <c r="F69" s="28"/>
      <c r="G69" s="28"/>
      <c r="H69" s="28"/>
      <c r="I69" s="28"/>
    </row>
    <row r="70">
      <c r="A70" s="169" t="s">
        <v>385</v>
      </c>
      <c r="B70" s="200"/>
      <c r="C70" s="171"/>
      <c r="D70" s="172"/>
      <c r="E70" s="28"/>
      <c r="F70" s="28"/>
      <c r="G70" s="28"/>
      <c r="H70" s="28"/>
      <c r="I70" s="28"/>
    </row>
    <row r="71">
      <c r="A71" s="169" t="s">
        <v>386</v>
      </c>
      <c r="B71" s="200"/>
      <c r="C71" s="171"/>
      <c r="D71" s="172"/>
      <c r="E71" s="28"/>
      <c r="F71" s="28"/>
      <c r="G71" s="28"/>
      <c r="H71" s="28"/>
      <c r="I71" s="28"/>
    </row>
    <row r="72">
      <c r="A72" s="169" t="s">
        <v>387</v>
      </c>
      <c r="B72" s="200"/>
      <c r="C72" s="171"/>
      <c r="D72" s="172"/>
      <c r="E72" s="28"/>
      <c r="F72" s="28"/>
      <c r="G72" s="28"/>
      <c r="H72" s="28"/>
      <c r="I72" s="28"/>
    </row>
    <row r="73">
      <c r="A73" s="169" t="s">
        <v>388</v>
      </c>
      <c r="B73" s="200"/>
      <c r="C73" s="171"/>
      <c r="D73" s="172"/>
      <c r="E73" s="28"/>
      <c r="F73" s="28"/>
      <c r="G73" s="28"/>
      <c r="H73" s="28"/>
      <c r="I73" s="28"/>
    </row>
    <row r="74">
      <c r="A74" s="169" t="s">
        <v>390</v>
      </c>
      <c r="B74" s="200"/>
      <c r="C74" s="171"/>
      <c r="D74" s="172"/>
      <c r="E74" s="28"/>
      <c r="F74" s="28"/>
      <c r="G74" s="28"/>
      <c r="H74" s="28"/>
      <c r="I74" s="28"/>
    </row>
    <row r="75">
      <c r="A75" s="169" t="s">
        <v>391</v>
      </c>
      <c r="B75" s="200"/>
      <c r="C75" s="171"/>
      <c r="D75" s="172"/>
      <c r="E75" s="28"/>
      <c r="F75" s="28"/>
      <c r="G75" s="28"/>
      <c r="H75" s="28"/>
      <c r="I75" s="28"/>
    </row>
    <row r="76">
      <c r="A76" s="169" t="s">
        <v>392</v>
      </c>
      <c r="B76" s="200"/>
      <c r="C76" s="171"/>
      <c r="D76" s="172"/>
      <c r="E76" s="28"/>
      <c r="F76" s="28"/>
      <c r="G76" s="28"/>
      <c r="H76" s="28"/>
      <c r="I76" s="28"/>
    </row>
    <row r="77">
      <c r="A77" s="169" t="s">
        <v>394</v>
      </c>
      <c r="B77" s="200"/>
      <c r="C77" s="171"/>
      <c r="D77" s="172"/>
      <c r="E77" s="28"/>
      <c r="F77" s="28"/>
      <c r="G77" s="28"/>
      <c r="H77" s="28"/>
      <c r="I77" s="28"/>
    </row>
    <row r="78">
      <c r="A78" s="169" t="s">
        <v>395</v>
      </c>
      <c r="B78" s="200"/>
      <c r="C78" s="171"/>
      <c r="D78" s="172"/>
      <c r="E78" s="28"/>
      <c r="F78" s="28"/>
      <c r="G78" s="28"/>
      <c r="H78" s="28"/>
      <c r="I78" s="28"/>
    </row>
    <row r="79">
      <c r="A79" s="169" t="s">
        <v>396</v>
      </c>
      <c r="B79" s="200"/>
      <c r="C79" s="171"/>
      <c r="D79" s="172"/>
      <c r="E79" s="28"/>
      <c r="F79" s="28"/>
      <c r="G79" s="28"/>
      <c r="H79" s="28"/>
      <c r="I79" s="28"/>
    </row>
    <row r="80">
      <c r="A80" s="169" t="s">
        <v>398</v>
      </c>
      <c r="B80" s="200"/>
      <c r="C80" s="171"/>
      <c r="D80" s="172"/>
      <c r="E80" s="28"/>
      <c r="F80" s="28"/>
      <c r="G80" s="28"/>
      <c r="H80" s="28"/>
      <c r="I80" s="28"/>
    </row>
    <row r="81">
      <c r="A81" s="169" t="s">
        <v>399</v>
      </c>
      <c r="B81" s="200"/>
      <c r="C81" s="171"/>
      <c r="D81" s="172"/>
      <c r="E81" s="28"/>
      <c r="F81" s="28"/>
      <c r="G81" s="28"/>
      <c r="H81" s="28"/>
      <c r="I81" s="28"/>
    </row>
    <row r="82">
      <c r="A82" s="169" t="s">
        <v>401</v>
      </c>
      <c r="B82" s="200"/>
      <c r="C82" s="171"/>
      <c r="D82" s="172"/>
      <c r="E82" s="28"/>
      <c r="F82" s="28"/>
      <c r="G82" s="28"/>
      <c r="H82" s="28"/>
      <c r="I82" s="28"/>
    </row>
    <row r="83">
      <c r="A83" s="169" t="s">
        <v>402</v>
      </c>
      <c r="B83" s="200"/>
      <c r="C83" s="171"/>
      <c r="D83" s="172"/>
      <c r="E83" s="28"/>
      <c r="F83" s="28"/>
      <c r="G83" s="28"/>
      <c r="H83" s="28"/>
      <c r="I83" s="28"/>
    </row>
    <row r="84">
      <c r="A84" s="169" t="s">
        <v>404</v>
      </c>
      <c r="B84" s="200"/>
      <c r="C84" s="171"/>
      <c r="D84" s="172"/>
      <c r="E84" s="28"/>
      <c r="F84" s="28"/>
      <c r="G84" s="28"/>
      <c r="H84" s="28"/>
      <c r="I84" s="28"/>
    </row>
    <row r="85">
      <c r="A85" s="169" t="s">
        <v>405</v>
      </c>
      <c r="B85" s="200"/>
      <c r="C85" s="171"/>
      <c r="D85" s="172"/>
      <c r="E85" s="28"/>
      <c r="F85" s="28"/>
      <c r="G85" s="28"/>
      <c r="H85" s="28"/>
      <c r="I85" s="28"/>
    </row>
    <row r="86">
      <c r="A86" s="169" t="s">
        <v>407</v>
      </c>
      <c r="B86" s="200"/>
      <c r="C86" s="171"/>
      <c r="D86" s="172"/>
      <c r="E86" s="28"/>
      <c r="F86" s="28"/>
      <c r="G86" s="28"/>
      <c r="H86" s="28"/>
      <c r="I86" s="28"/>
    </row>
    <row r="87">
      <c r="A87" s="169" t="s">
        <v>408</v>
      </c>
      <c r="B87" s="200"/>
      <c r="C87" s="171"/>
      <c r="D87" s="172"/>
      <c r="E87" s="28"/>
      <c r="F87" s="28"/>
      <c r="G87" s="28"/>
      <c r="H87" s="28"/>
      <c r="I87" s="28"/>
    </row>
    <row r="88">
      <c r="A88" s="169" t="s">
        <v>409</v>
      </c>
      <c r="B88" s="200"/>
      <c r="C88" s="171"/>
      <c r="D88" s="172"/>
      <c r="E88" s="28"/>
      <c r="F88" s="28"/>
      <c r="G88" s="28"/>
      <c r="H88" s="28"/>
      <c r="I88" s="28"/>
    </row>
    <row r="89">
      <c r="A89" s="169" t="s">
        <v>411</v>
      </c>
      <c r="B89" s="200"/>
      <c r="C89" s="171"/>
      <c r="D89" s="172"/>
      <c r="E89" s="28"/>
      <c r="F89" s="28"/>
      <c r="G89" s="28"/>
      <c r="H89" s="28"/>
      <c r="I89" s="28"/>
    </row>
    <row r="90">
      <c r="A90" s="169" t="s">
        <v>413</v>
      </c>
      <c r="B90" s="200"/>
      <c r="C90" s="171"/>
      <c r="D90" s="172"/>
      <c r="E90" s="28"/>
      <c r="F90" s="28"/>
      <c r="G90" s="28"/>
      <c r="H90" s="28"/>
      <c r="I90" s="28"/>
    </row>
    <row r="91">
      <c r="A91" s="169" t="s">
        <v>414</v>
      </c>
      <c r="B91" s="200"/>
      <c r="C91" s="171"/>
      <c r="D91" s="172"/>
      <c r="E91" s="28"/>
      <c r="F91" s="28"/>
      <c r="G91" s="28"/>
      <c r="H91" s="28"/>
      <c r="I91" s="28"/>
    </row>
    <row r="92">
      <c r="A92" s="169" t="s">
        <v>416</v>
      </c>
      <c r="B92" s="200"/>
      <c r="C92" s="171"/>
      <c r="D92" s="172"/>
      <c r="E92" s="28"/>
      <c r="F92" s="28"/>
      <c r="G92" s="28"/>
      <c r="H92" s="28"/>
      <c r="I92" s="28"/>
    </row>
    <row r="93">
      <c r="A93" s="169" t="s">
        <v>417</v>
      </c>
      <c r="B93" s="200"/>
      <c r="C93" s="171"/>
      <c r="D93" s="172"/>
      <c r="E93" s="28"/>
      <c r="F93" s="28"/>
      <c r="G93" s="28"/>
      <c r="H93" s="28"/>
      <c r="I93" s="28"/>
    </row>
    <row r="94">
      <c r="A94" s="169" t="s">
        <v>419</v>
      </c>
      <c r="B94" s="200"/>
      <c r="C94" s="171"/>
      <c r="D94" s="172"/>
      <c r="E94" s="28"/>
      <c r="F94" s="28"/>
      <c r="G94" s="28"/>
      <c r="H94" s="28"/>
      <c r="I94" s="28"/>
    </row>
    <row r="95">
      <c r="A95" s="169" t="s">
        <v>420</v>
      </c>
      <c r="B95" s="200"/>
      <c r="C95" s="171"/>
      <c r="D95" s="172"/>
      <c r="E95" s="28"/>
      <c r="F95" s="28"/>
      <c r="G95" s="28"/>
      <c r="H95" s="28"/>
      <c r="I95" s="28"/>
    </row>
    <row r="96">
      <c r="A96" s="169" t="s">
        <v>422</v>
      </c>
      <c r="B96" s="200"/>
      <c r="C96" s="171"/>
      <c r="D96" s="172"/>
      <c r="E96" s="28"/>
      <c r="F96" s="28"/>
      <c r="G96" s="28"/>
      <c r="H96" s="28"/>
      <c r="I96" s="28"/>
    </row>
    <row r="97">
      <c r="A97" s="169" t="s">
        <v>423</v>
      </c>
      <c r="B97" s="200"/>
      <c r="C97" s="171"/>
      <c r="D97" s="172"/>
      <c r="E97" s="28"/>
      <c r="F97" s="28"/>
      <c r="G97" s="28"/>
      <c r="H97" s="28"/>
      <c r="I97" s="28"/>
    </row>
    <row r="98">
      <c r="A98" s="169" t="s">
        <v>425</v>
      </c>
      <c r="B98" s="200"/>
      <c r="C98" s="171"/>
      <c r="D98" s="172"/>
      <c r="E98" s="28"/>
      <c r="F98" s="28"/>
      <c r="G98" s="28"/>
      <c r="H98" s="28"/>
      <c r="I98" s="28"/>
    </row>
    <row r="99">
      <c r="A99" s="169" t="s">
        <v>426</v>
      </c>
      <c r="B99" s="200"/>
      <c r="C99" s="171"/>
      <c r="D99" s="172"/>
      <c r="E99" s="28"/>
      <c r="F99" s="28"/>
      <c r="G99" s="28"/>
      <c r="H99" s="28"/>
      <c r="I99" s="28"/>
    </row>
    <row r="100">
      <c r="A100" s="169" t="s">
        <v>427</v>
      </c>
      <c r="B100" s="200"/>
      <c r="C100" s="171"/>
      <c r="D100" s="172"/>
      <c r="E100" s="28"/>
      <c r="F100" s="28"/>
      <c r="G100" s="28"/>
      <c r="H100" s="28"/>
      <c r="I100" s="28"/>
    </row>
    <row r="101">
      <c r="A101" s="169" t="s">
        <v>429</v>
      </c>
      <c r="B101" s="200"/>
      <c r="C101" s="171"/>
      <c r="D101" s="172"/>
      <c r="E101" s="28"/>
      <c r="F101" s="28"/>
      <c r="G101" s="28"/>
      <c r="H101" s="28"/>
      <c r="I101" s="28"/>
    </row>
    <row r="102">
      <c r="A102" s="169" t="s">
        <v>430</v>
      </c>
      <c r="B102" s="200"/>
      <c r="C102" s="171"/>
      <c r="D102" s="172"/>
      <c r="E102" s="28"/>
      <c r="F102" s="28"/>
      <c r="G102" s="28"/>
      <c r="H102" s="28"/>
      <c r="I102" s="28"/>
    </row>
    <row r="103">
      <c r="A103" s="169" t="s">
        <v>431</v>
      </c>
      <c r="B103" s="200"/>
      <c r="C103" s="171"/>
      <c r="D103" s="172"/>
      <c r="E103" s="28"/>
      <c r="F103" s="28"/>
      <c r="G103" s="28"/>
      <c r="H103" s="28"/>
      <c r="I103" s="28"/>
    </row>
    <row r="104">
      <c r="A104" s="169" t="s">
        <v>433</v>
      </c>
      <c r="B104" s="200"/>
      <c r="C104" s="171"/>
      <c r="D104" s="172"/>
      <c r="E104" s="28"/>
      <c r="F104" s="28"/>
      <c r="G104" s="28"/>
      <c r="H104" s="28"/>
      <c r="I104" s="28"/>
    </row>
    <row r="105">
      <c r="A105" s="169" t="s">
        <v>434</v>
      </c>
      <c r="B105" s="200"/>
      <c r="C105" s="171"/>
      <c r="D105" s="172"/>
      <c r="E105" s="28"/>
      <c r="F105" s="28"/>
      <c r="G105" s="28"/>
      <c r="H105" s="28"/>
      <c r="I105" s="28"/>
    </row>
    <row r="106">
      <c r="A106" s="169" t="s">
        <v>435</v>
      </c>
      <c r="B106" s="200"/>
      <c r="C106" s="171"/>
      <c r="D106" s="172"/>
      <c r="E106" s="28"/>
      <c r="F106" s="28"/>
      <c r="G106" s="28"/>
      <c r="H106" s="28"/>
      <c r="I106" s="28"/>
    </row>
    <row r="107">
      <c r="A107" s="169" t="s">
        <v>437</v>
      </c>
      <c r="B107" s="200"/>
      <c r="C107" s="171"/>
      <c r="D107" s="172"/>
      <c r="E107" s="28"/>
      <c r="F107" s="28"/>
      <c r="G107" s="28"/>
      <c r="H107" s="28"/>
      <c r="I107" s="28"/>
    </row>
    <row r="108">
      <c r="A108" s="169" t="s">
        <v>438</v>
      </c>
      <c r="B108" s="200"/>
      <c r="C108" s="171"/>
      <c r="D108" s="172"/>
      <c r="E108" s="28"/>
      <c r="F108" s="28"/>
      <c r="G108" s="28"/>
      <c r="H108" s="28"/>
      <c r="I108" s="28"/>
    </row>
    <row r="109">
      <c r="A109" s="169" t="s">
        <v>440</v>
      </c>
      <c r="B109" s="200"/>
      <c r="C109" s="171"/>
      <c r="D109" s="172"/>
      <c r="E109" s="28"/>
      <c r="F109" s="28"/>
      <c r="G109" s="28"/>
      <c r="H109" s="28"/>
      <c r="I109" s="28"/>
    </row>
    <row r="110">
      <c r="A110" s="169" t="s">
        <v>441</v>
      </c>
      <c r="B110" s="200"/>
      <c r="C110" s="171"/>
      <c r="D110" s="172"/>
      <c r="E110" s="28"/>
      <c r="F110" s="28"/>
      <c r="G110" s="28"/>
      <c r="H110" s="28"/>
      <c r="I110" s="28"/>
    </row>
  </sheetData>
  <dataValidations>
    <dataValidation type="list" allowBlank="1" showErrorMessage="1" sqref="C2:C110">
      <formula1>'3.Khách hàng'!$B$3:$B$110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5"/>
    <col customWidth="1" min="2" max="2" width="10.5"/>
    <col customWidth="1" min="3" max="3" width="28.13"/>
    <col customWidth="1" min="4" max="4" width="30.13"/>
    <col customWidth="1" min="5" max="5" width="16.5"/>
    <col customWidth="1" min="6" max="6" width="43.13"/>
    <col customWidth="1" min="7" max="7" width="20.25"/>
    <col customWidth="1" min="8" max="8" width="15.25"/>
  </cols>
  <sheetData>
    <row r="1">
      <c r="A1" s="174"/>
      <c r="B1" s="175" t="s">
        <v>260</v>
      </c>
      <c r="C1" s="176"/>
      <c r="D1" s="176"/>
      <c r="E1" s="177"/>
      <c r="F1" s="176"/>
      <c r="G1" s="176"/>
      <c r="H1" s="176"/>
    </row>
    <row r="2">
      <c r="A2" s="178"/>
      <c r="B2" s="179"/>
      <c r="C2" s="176"/>
      <c r="D2" s="176"/>
      <c r="E2" s="177"/>
      <c r="F2" s="176"/>
      <c r="G2" s="176"/>
      <c r="H2" s="176"/>
    </row>
    <row r="3">
      <c r="A3" s="180" t="s">
        <v>150</v>
      </c>
      <c r="B3" s="182" t="s">
        <v>269</v>
      </c>
      <c r="C3" s="183" t="s">
        <v>273</v>
      </c>
      <c r="D3" s="183" t="s">
        <v>275</v>
      </c>
      <c r="E3" s="184" t="s">
        <v>278</v>
      </c>
      <c r="F3" s="185" t="s">
        <v>136</v>
      </c>
      <c r="G3" s="185" t="s">
        <v>281</v>
      </c>
      <c r="H3" s="186" t="s">
        <v>282</v>
      </c>
    </row>
    <row r="4">
      <c r="A4" s="187" t="s">
        <v>286</v>
      </c>
      <c r="B4" s="188"/>
      <c r="C4" s="189"/>
      <c r="D4" s="189"/>
      <c r="E4" s="190"/>
      <c r="F4" s="191"/>
      <c r="G4" s="191"/>
      <c r="H4" s="191"/>
    </row>
    <row r="5">
      <c r="A5" s="193">
        <v>1.0</v>
      </c>
      <c r="B5" s="194">
        <v>46063.0</v>
      </c>
      <c r="C5" s="195" t="s">
        <v>145</v>
      </c>
      <c r="D5" s="195" t="s">
        <v>80</v>
      </c>
      <c r="E5" s="196">
        <v>5000000.0</v>
      </c>
      <c r="F5" s="183" t="s">
        <v>301</v>
      </c>
      <c r="G5" s="197" t="s">
        <v>302</v>
      </c>
      <c r="H5" s="191"/>
    </row>
    <row r="6">
      <c r="A6" s="193">
        <v>2.0</v>
      </c>
      <c r="B6" s="194">
        <v>46055.0</v>
      </c>
      <c r="C6" s="195" t="s">
        <v>305</v>
      </c>
      <c r="D6" s="195" t="s">
        <v>89</v>
      </c>
      <c r="E6" s="198"/>
      <c r="F6" s="189"/>
      <c r="G6" s="191"/>
      <c r="H6" s="183" t="s">
        <v>308</v>
      </c>
    </row>
    <row r="7">
      <c r="A7" s="187" t="s">
        <v>309</v>
      </c>
      <c r="B7" s="199"/>
      <c r="C7" s="201"/>
      <c r="D7" s="201"/>
      <c r="E7" s="198"/>
      <c r="F7" s="189"/>
      <c r="G7" s="191"/>
      <c r="H7" s="191"/>
    </row>
    <row r="8">
      <c r="A8" s="193">
        <v>3.0</v>
      </c>
      <c r="B8" s="194">
        <v>46111.0</v>
      </c>
      <c r="C8" s="195" t="s">
        <v>305</v>
      </c>
      <c r="D8" s="195" t="s">
        <v>89</v>
      </c>
      <c r="E8" s="198"/>
      <c r="F8" s="189"/>
      <c r="G8" s="191"/>
      <c r="H8" s="183" t="s">
        <v>308</v>
      </c>
    </row>
    <row r="9">
      <c r="A9" s="193">
        <v>5.0</v>
      </c>
      <c r="B9" s="194">
        <v>46111.0</v>
      </c>
      <c r="C9" s="195" t="s">
        <v>147</v>
      </c>
      <c r="D9" s="195" t="s">
        <v>89</v>
      </c>
      <c r="E9" s="202">
        <v>986000.0</v>
      </c>
      <c r="F9" s="183" t="s">
        <v>90</v>
      </c>
      <c r="G9" s="197" t="s">
        <v>321</v>
      </c>
      <c r="H9" s="197" t="s">
        <v>322</v>
      </c>
    </row>
    <row r="10">
      <c r="A10" s="193">
        <v>6.0</v>
      </c>
      <c r="B10" s="194">
        <v>46111.0</v>
      </c>
      <c r="C10" s="201"/>
      <c r="D10" s="195" t="s">
        <v>324</v>
      </c>
      <c r="E10" s="198"/>
      <c r="F10" s="189"/>
      <c r="G10" s="191"/>
      <c r="H10" s="191"/>
    </row>
    <row r="11">
      <c r="A11" s="193">
        <v>7.0</v>
      </c>
      <c r="B11" s="194">
        <v>46103.0</v>
      </c>
      <c r="C11" s="201"/>
      <c r="D11" s="195" t="s">
        <v>324</v>
      </c>
      <c r="E11" s="198"/>
      <c r="F11" s="189"/>
      <c r="G11" s="191"/>
      <c r="H11" s="191"/>
    </row>
    <row r="12">
      <c r="A12" s="193">
        <v>8.0</v>
      </c>
      <c r="B12" s="194">
        <v>46091.0</v>
      </c>
      <c r="C12" s="195" t="s">
        <v>328</v>
      </c>
      <c r="D12" s="195" t="s">
        <v>329</v>
      </c>
      <c r="E12" s="198"/>
      <c r="F12" s="183" t="s">
        <v>330</v>
      </c>
      <c r="G12" s="191"/>
      <c r="H12" s="191"/>
    </row>
    <row r="13">
      <c r="A13" s="193">
        <v>9.0</v>
      </c>
      <c r="B13" s="194">
        <v>46083.0</v>
      </c>
      <c r="C13" s="195" t="s">
        <v>305</v>
      </c>
      <c r="D13" s="195" t="s">
        <v>89</v>
      </c>
      <c r="E13" s="198"/>
      <c r="F13" s="189"/>
      <c r="G13" s="191"/>
      <c r="H13" s="183" t="s">
        <v>308</v>
      </c>
    </row>
    <row r="14">
      <c r="A14" s="203" t="s">
        <v>333</v>
      </c>
      <c r="B14" s="199"/>
      <c r="C14" s="201"/>
      <c r="D14" s="201"/>
      <c r="E14" s="198"/>
      <c r="F14" s="191"/>
      <c r="G14" s="191"/>
      <c r="H14" s="191"/>
    </row>
    <row r="15">
      <c r="A15" s="193">
        <v>10.0</v>
      </c>
      <c r="B15" s="194">
        <v>46142.0</v>
      </c>
      <c r="C15" s="195" t="s">
        <v>149</v>
      </c>
      <c r="D15" s="195" t="s">
        <v>94</v>
      </c>
      <c r="E15" s="196">
        <v>199000.0</v>
      </c>
      <c r="F15" s="204" t="s">
        <v>95</v>
      </c>
      <c r="G15" s="197" t="s">
        <v>67</v>
      </c>
      <c r="H15" s="191"/>
    </row>
    <row r="16">
      <c r="A16" s="193">
        <v>11.0</v>
      </c>
      <c r="B16" s="194">
        <v>46142.0</v>
      </c>
      <c r="C16" s="195" t="s">
        <v>151</v>
      </c>
      <c r="D16" s="195" t="s">
        <v>99</v>
      </c>
      <c r="E16" s="196">
        <v>400000.0</v>
      </c>
      <c r="F16" s="204" t="s">
        <v>95</v>
      </c>
      <c r="G16" s="197" t="s">
        <v>67</v>
      </c>
      <c r="H16" s="191"/>
    </row>
    <row r="17">
      <c r="A17" s="205">
        <v>12.0</v>
      </c>
      <c r="B17" s="206">
        <v>46128.0</v>
      </c>
      <c r="C17" s="207" t="s">
        <v>340</v>
      </c>
      <c r="D17" s="207" t="s">
        <v>343</v>
      </c>
      <c r="E17" s="208">
        <v>1.32874E7</v>
      </c>
      <c r="F17" s="209" t="s">
        <v>108</v>
      </c>
      <c r="G17" s="210"/>
      <c r="H17" s="210"/>
    </row>
    <row r="18">
      <c r="A18" s="193">
        <v>13.0</v>
      </c>
      <c r="B18" s="211">
        <v>46126.0</v>
      </c>
      <c r="C18" s="204" t="s">
        <v>155</v>
      </c>
      <c r="D18" s="204" t="s">
        <v>348</v>
      </c>
      <c r="E18" s="212">
        <v>597000.0</v>
      </c>
      <c r="F18" s="204" t="s">
        <v>95</v>
      </c>
      <c r="G18" s="197" t="s">
        <v>351</v>
      </c>
      <c r="H18" s="191"/>
    </row>
    <row r="19">
      <c r="A19" s="205">
        <v>14.0</v>
      </c>
      <c r="B19" s="206">
        <v>46126.0</v>
      </c>
      <c r="C19" s="207" t="s">
        <v>340</v>
      </c>
      <c r="D19" s="207" t="s">
        <v>343</v>
      </c>
      <c r="E19" s="208">
        <v>2.0E7</v>
      </c>
      <c r="F19" s="209" t="s">
        <v>108</v>
      </c>
      <c r="G19" s="210"/>
      <c r="H19" s="210"/>
    </row>
    <row r="20">
      <c r="A20" s="205">
        <v>15.0</v>
      </c>
      <c r="B20" s="206">
        <v>46125.0</v>
      </c>
      <c r="C20" s="207" t="s">
        <v>355</v>
      </c>
      <c r="D20" s="207" t="s">
        <v>103</v>
      </c>
      <c r="E20" s="208">
        <v>3.32874E7</v>
      </c>
      <c r="F20" s="209" t="s">
        <v>356</v>
      </c>
      <c r="G20" s="209" t="s">
        <v>357</v>
      </c>
      <c r="H20" s="210"/>
    </row>
    <row r="21">
      <c r="A21" s="205">
        <v>17.0</v>
      </c>
      <c r="B21" s="206">
        <v>46123.0</v>
      </c>
      <c r="C21" s="207" t="s">
        <v>359</v>
      </c>
      <c r="D21" s="207" t="s">
        <v>360</v>
      </c>
      <c r="E21" s="208">
        <v>3.6986E7</v>
      </c>
      <c r="F21" s="213" t="s">
        <v>361</v>
      </c>
      <c r="G21" s="209" t="s">
        <v>363</v>
      </c>
      <c r="H21" s="210"/>
    </row>
    <row r="22">
      <c r="A22" s="193">
        <v>18.0</v>
      </c>
      <c r="B22" s="211">
        <v>46121.0</v>
      </c>
      <c r="C22" s="204" t="s">
        <v>165</v>
      </c>
      <c r="D22" s="204" t="s">
        <v>365</v>
      </c>
      <c r="E22" s="212">
        <v>2.32874E7</v>
      </c>
      <c r="F22" s="191"/>
      <c r="G22" s="191"/>
      <c r="H22" s="197" t="s">
        <v>108</v>
      </c>
    </row>
    <row r="23">
      <c r="A23" s="214" t="s">
        <v>367</v>
      </c>
      <c r="B23" s="199"/>
      <c r="C23" s="201"/>
      <c r="D23" s="201"/>
      <c r="E23" s="198"/>
      <c r="F23" s="191"/>
      <c r="G23" s="191"/>
      <c r="H23" s="191"/>
    </row>
    <row r="24">
      <c r="A24" s="193">
        <v>20.0</v>
      </c>
      <c r="B24" s="194">
        <v>46150.0</v>
      </c>
      <c r="C24" s="195" t="s">
        <v>168</v>
      </c>
      <c r="D24" s="195" t="s">
        <v>109</v>
      </c>
      <c r="E24" s="196">
        <v>200000.0</v>
      </c>
      <c r="F24" s="204" t="s">
        <v>95</v>
      </c>
      <c r="G24" s="197" t="s">
        <v>67</v>
      </c>
      <c r="H24" s="191"/>
    </row>
    <row r="25">
      <c r="A25" s="193">
        <v>21.0</v>
      </c>
      <c r="B25" s="194">
        <v>46150.0</v>
      </c>
      <c r="C25" s="195" t="s">
        <v>169</v>
      </c>
      <c r="D25" s="195" t="s">
        <v>111</v>
      </c>
      <c r="E25" s="196">
        <v>400000.0</v>
      </c>
      <c r="F25" s="204" t="s">
        <v>95</v>
      </c>
      <c r="G25" s="197" t="s">
        <v>373</v>
      </c>
      <c r="H25" s="191"/>
    </row>
    <row r="26">
      <c r="A26" s="193">
        <v>22.0</v>
      </c>
      <c r="B26" s="194">
        <v>46148.0</v>
      </c>
      <c r="C26" s="195" t="s">
        <v>171</v>
      </c>
      <c r="D26" s="195" t="s">
        <v>115</v>
      </c>
      <c r="E26" s="196">
        <v>199000.0</v>
      </c>
      <c r="F26" s="204" t="s">
        <v>95</v>
      </c>
      <c r="G26" s="197" t="s">
        <v>67</v>
      </c>
      <c r="H26" s="191"/>
    </row>
    <row r="27">
      <c r="A27" s="193">
        <v>23.0</v>
      </c>
      <c r="B27" s="194">
        <v>46147.0</v>
      </c>
      <c r="C27" s="195" t="s">
        <v>173</v>
      </c>
      <c r="D27" s="195" t="s">
        <v>103</v>
      </c>
      <c r="E27" s="196">
        <v>199000.0</v>
      </c>
      <c r="F27" s="204" t="s">
        <v>95</v>
      </c>
      <c r="G27" s="197" t="s">
        <v>67</v>
      </c>
      <c r="H27" s="191"/>
    </row>
    <row r="28">
      <c r="A28" s="193">
        <v>24.0</v>
      </c>
      <c r="B28" s="194">
        <v>46147.0</v>
      </c>
      <c r="C28" s="195" t="s">
        <v>175</v>
      </c>
      <c r="D28" s="195" t="s">
        <v>120</v>
      </c>
      <c r="E28" s="196">
        <v>199000.0</v>
      </c>
      <c r="F28" s="204" t="s">
        <v>95</v>
      </c>
      <c r="G28" s="197" t="s">
        <v>67</v>
      </c>
      <c r="H28" s="191"/>
    </row>
    <row r="29">
      <c r="A29" s="193">
        <v>25.0</v>
      </c>
      <c r="B29" s="194">
        <v>46146.0</v>
      </c>
      <c r="C29" s="195" t="s">
        <v>177</v>
      </c>
      <c r="D29" s="195" t="s">
        <v>123</v>
      </c>
      <c r="E29" s="196">
        <v>199000.0</v>
      </c>
      <c r="F29" s="204" t="s">
        <v>95</v>
      </c>
      <c r="G29" s="197" t="s">
        <v>67</v>
      </c>
      <c r="H29" s="191"/>
    </row>
    <row r="30">
      <c r="A30" s="178"/>
      <c r="B30" s="179"/>
      <c r="C30" s="176"/>
      <c r="D30" s="176"/>
      <c r="E30" s="215">
        <f>SUM(E4:E29)</f>
        <v>135426200</v>
      </c>
      <c r="F30" s="176"/>
      <c r="G30" s="176"/>
      <c r="H30" s="176"/>
    </row>
    <row r="31">
      <c r="A31" s="178"/>
      <c r="B31" s="179"/>
      <c r="C31" s="176"/>
      <c r="D31" s="176"/>
      <c r="E31" s="215">
        <f>E17+E19+E20+E21</f>
        <v>103560800</v>
      </c>
      <c r="F31" s="176"/>
      <c r="G31" s="176"/>
      <c r="H31" s="176"/>
    </row>
    <row r="32">
      <c r="A32" s="178"/>
      <c r="B32" s="179"/>
      <c r="C32" s="176"/>
      <c r="D32" s="176"/>
      <c r="E32" s="215">
        <f>E30-E31</f>
        <v>31865400</v>
      </c>
      <c r="F32" s="176"/>
      <c r="G32" s="176"/>
      <c r="H32" s="176"/>
    </row>
  </sheetData>
  <drawing r:id="rId1"/>
</worksheet>
</file>